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Ватутина 18 к2\ТСЖ доки\Управление ТСЖ\Отчеты\"/>
    </mc:Choice>
  </mc:AlternateContent>
  <xr:revisionPtr revIDLastSave="0" documentId="13_ncr:1_{508F72F9-6D07-4C32-A3D4-E9500A3FA006}" xr6:coauthVersionLast="40" xr6:coauthVersionMax="40" xr10:uidLastSave="{00000000-0000-0000-0000-000000000000}"/>
  <bookViews>
    <workbookView xWindow="0" yWindow="0" windowWidth="23040" windowHeight="9048" xr2:uid="{63A7E7A0-86B1-4FA7-A02B-8C34B733CC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9" i="1" l="1"/>
  <c r="G339" i="1"/>
  <c r="E339" i="1"/>
  <c r="G337" i="1" l="1"/>
  <c r="D325" i="1" l="1"/>
  <c r="F162" i="1" l="1"/>
  <c r="F161" i="1"/>
  <c r="F119" i="1"/>
  <c r="F118" i="1"/>
  <c r="F117" i="1"/>
  <c r="F300" i="1"/>
  <c r="F299" i="1"/>
  <c r="F295" i="1"/>
  <c r="F292" i="1"/>
  <c r="F291" i="1"/>
  <c r="F290" i="1"/>
  <c r="F289" i="1"/>
  <c r="F288" i="1"/>
  <c r="F285" i="1"/>
  <c r="F283" i="1"/>
  <c r="F282" i="1"/>
  <c r="F281" i="1"/>
  <c r="F280" i="1"/>
  <c r="F278" i="1"/>
  <c r="F277" i="1"/>
  <c r="F276" i="1"/>
  <c r="F275" i="1"/>
  <c r="F273" i="1"/>
  <c r="F272" i="1"/>
  <c r="F271" i="1"/>
  <c r="F269" i="1"/>
  <c r="F267" i="1"/>
  <c r="F266" i="1"/>
  <c r="F265" i="1"/>
  <c r="F263" i="1" l="1"/>
  <c r="F262" i="1"/>
  <c r="F261" i="1"/>
  <c r="F256" i="1"/>
  <c r="F255" i="1"/>
  <c r="F254" i="1"/>
  <c r="F253" i="1"/>
  <c r="F252" i="1"/>
  <c r="F251" i="1"/>
  <c r="F250" i="1"/>
  <c r="F248" i="1"/>
  <c r="F245" i="1"/>
  <c r="F244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 l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199" i="1"/>
  <c r="F198" i="1"/>
  <c r="F195" i="1"/>
  <c r="F194" i="1"/>
  <c r="F193" i="1"/>
  <c r="F192" i="1"/>
  <c r="F191" i="1"/>
  <c r="F190" i="1"/>
  <c r="F189" i="1"/>
  <c r="F188" i="1"/>
  <c r="F187" i="1"/>
  <c r="F185" i="1" l="1"/>
  <c r="F183" i="1"/>
  <c r="F180" i="1"/>
  <c r="F177" i="1"/>
  <c r="F175" i="1"/>
  <c r="F174" i="1"/>
  <c r="F172" i="1"/>
  <c r="F171" i="1"/>
  <c r="F170" i="1"/>
  <c r="F167" i="1"/>
  <c r="F166" i="1"/>
  <c r="F165" i="1"/>
  <c r="F160" i="1"/>
  <c r="F159" i="1"/>
  <c r="F157" i="1"/>
  <c r="F156" i="1"/>
  <c r="F154" i="1"/>
  <c r="F153" i="1"/>
  <c r="F152" i="1"/>
  <c r="F151" i="1"/>
  <c r="F149" i="1"/>
  <c r="F147" i="1"/>
  <c r="F146" i="1"/>
  <c r="F145" i="1"/>
  <c r="F144" i="1"/>
  <c r="F141" i="1"/>
  <c r="F140" i="1"/>
  <c r="F139" i="1"/>
  <c r="F138" i="1"/>
  <c r="F137" i="1"/>
  <c r="F136" i="1"/>
  <c r="F135" i="1"/>
  <c r="F133" i="1"/>
  <c r="F131" i="1"/>
  <c r="F130" i="1"/>
  <c r="F129" i="1"/>
  <c r="F128" i="1"/>
  <c r="F126" i="1"/>
  <c r="F122" i="1"/>
  <c r="F121" i="1"/>
  <c r="F113" i="1"/>
  <c r="F112" i="1"/>
  <c r="F110" i="1"/>
  <c r="F109" i="1"/>
  <c r="F108" i="1"/>
  <c r="F105" i="1"/>
  <c r="F102" i="1" l="1"/>
  <c r="F101" i="1"/>
  <c r="F99" i="1"/>
  <c r="F97" i="1"/>
  <c r="F95" i="1"/>
  <c r="F94" i="1"/>
  <c r="F91" i="1"/>
  <c r="F89" i="1"/>
  <c r="F86" i="1"/>
  <c r="F83" i="1"/>
  <c r="F82" i="1"/>
  <c r="F81" i="1"/>
  <c r="F78" i="1"/>
  <c r="F77" i="1"/>
  <c r="F75" i="1"/>
  <c r="F73" i="1" l="1"/>
  <c r="F72" i="1"/>
  <c r="F69" i="1"/>
  <c r="F67" i="1"/>
  <c r="F66" i="1"/>
  <c r="F65" i="1"/>
  <c r="F64" i="1"/>
  <c r="F63" i="1"/>
  <c r="F62" i="1"/>
  <c r="F61" i="1"/>
  <c r="F60" i="1"/>
  <c r="F59" i="1"/>
  <c r="F58" i="1"/>
  <c r="F55" i="1"/>
  <c r="F53" i="1"/>
  <c r="F51" i="1"/>
  <c r="F49" i="1"/>
  <c r="F46" i="1"/>
  <c r="F45" i="1"/>
  <c r="F43" i="1"/>
  <c r="F41" i="1"/>
  <c r="H38" i="1"/>
  <c r="F38" i="1"/>
  <c r="F36" i="1" l="1"/>
  <c r="H34" i="1"/>
  <c r="F34" i="1"/>
  <c r="H31" i="1" l="1"/>
  <c r="F31" i="1"/>
  <c r="H30" i="1"/>
  <c r="F30" i="1"/>
  <c r="H27" i="1"/>
  <c r="F27" i="1"/>
  <c r="F26" i="1"/>
  <c r="H25" i="1"/>
  <c r="H301" i="1" s="1"/>
  <c r="F25" i="1"/>
  <c r="F24" i="1"/>
  <c r="F22" i="1"/>
</calcChain>
</file>

<file path=xl/sharedStrings.xml><?xml version="1.0" encoding="utf-8"?>
<sst xmlns="http://schemas.openxmlformats.org/spreadsheetml/2006/main" count="872" uniqueCount="780">
  <si>
    <t>ОТЧЕТ О ДЕЯТЕЛЬНОСТИ ПО УПРАВЛЕНИЮ МНОГОКВАРТИРНЫМ 
ДОМОМ</t>
  </si>
  <si>
    <t>№
п/п</t>
  </si>
  <si>
    <t>Наименование работы
(услуги)</t>
  </si>
  <si>
    <t>Единица
 измерения
 работы
 (услуги)</t>
  </si>
  <si>
    <t>Цена
(стоимость)
единицы
работы
(услуги), руб</t>
  </si>
  <si>
    <t>По перечню работ (услуг)</t>
  </si>
  <si>
    <t>Количество
единиц работы
(оказанной услуги)</t>
  </si>
  <si>
    <t>Стоимость
работы (оказанной услуги), руб
(произведение 
граф 4 и 5)</t>
  </si>
  <si>
    <t>Выполнено</t>
  </si>
  <si>
    <t>Стоимость
работы (оказанной услуги), руб
(произведение 
граф 4 и 7)</t>
  </si>
  <si>
    <t>Товарищество собственников жилья "Ватутина, 18-2"</t>
  </si>
  <si>
    <t>(полное наименование лица, осуществляющего управление многоквартирным домом)</t>
  </si>
  <si>
    <r>
      <t xml:space="preserve">Отчет о деятельности по управлению многоквартирным домом по адресу:
</t>
    </r>
    <r>
      <rPr>
        <u/>
        <sz val="14"/>
        <color theme="1"/>
        <rFont val="Times New Roman"/>
        <family val="1"/>
        <charset val="204"/>
      </rPr>
      <t>г. Москва, ул. Ватутина д.18 корп.2
за 2025 год</t>
    </r>
  </si>
  <si>
    <t>(адрес места приема населения лицом, осуществляющим управление МКД, по вопросам отчета)</t>
  </si>
  <si>
    <t>121357, г. Москва, вн.тер.г. муниципальны округ Фили-Давыдково, ул. Ватутина, д. 18, к. 2, кв. 96</t>
  </si>
  <si>
    <t>(основной государственный регистрационный номер/идентификационный номер налогоплательщика)</t>
  </si>
  <si>
    <t>1027731012979 от 30.12.2002 г.</t>
  </si>
  <si>
    <t>Лицо, уполномоченное давать разъяснения по отчету:</t>
  </si>
  <si>
    <t xml:space="preserve">Рогов Александр Александрович, председатель правления </t>
  </si>
  <si>
    <t>(фамилия, имя, отчество (при наличии), должность)</t>
  </si>
  <si>
    <t>(номер телефона, адрес электронной почты (при наличии) лица, уполномоченногодавать разъяснения по отчету)</t>
  </si>
  <si>
    <t>8 (985) 302-99-22, tsgVatutina18-2@mail.ru</t>
  </si>
  <si>
    <t>Общая площадь жилых и не жилых помещений в многоквартирном доме, принадлежащих собственникам жилых и не жилых помещений (без учета помещений,  входящих в состав общего имущества многоквартирного дома): _______________ м.кв.</t>
  </si>
  <si>
    <t>1. За отчетный период выполнены следующие работы (оказаны следующие услуги) по содержанию общего имущества 
собственников помещений в МКД:</t>
  </si>
  <si>
    <t>1.1</t>
  </si>
  <si>
    <t>Фундаменты</t>
  </si>
  <si>
    <t>Прочистка внутридомовых и наружных  дренажей</t>
  </si>
  <si>
    <t>1 пролет</t>
  </si>
  <si>
    <t>1.1.4</t>
  </si>
  <si>
    <t>Восстановление (ремонт)  освещения и  вентиляции  подвала</t>
  </si>
  <si>
    <t>1.1.7</t>
  </si>
  <si>
    <t>Замена ламп накаливания</t>
  </si>
  <si>
    <t>Замена выключателей</t>
  </si>
  <si>
    <t>Замена патронов</t>
  </si>
  <si>
    <t>Замена неисправных участков сети электрической сети (открытая проводка) при числе и сечении жил в проводе 3х2,5 кв.м</t>
  </si>
  <si>
    <t>100 шт.</t>
  </si>
  <si>
    <t>100 пог. м</t>
  </si>
  <si>
    <t>1.1.7.3</t>
  </si>
  <si>
    <t>1.1.7.4</t>
  </si>
  <si>
    <t>1.1.7.5</t>
  </si>
  <si>
    <t>1.1.7.7</t>
  </si>
  <si>
    <t>1.2.1.2.1</t>
  </si>
  <si>
    <t>Заделка отверстий в бетонных и железобетонных стенах и перегородках</t>
  </si>
  <si>
    <t>1.2.1.2.1.1</t>
  </si>
  <si>
    <t>1.2.1.2.1.3</t>
  </si>
  <si>
    <t>Заделка отверстий в бетонных и железобетонных стенах и перегородках с площадью отверстий до 0,2 кв.м и глубиной до 100 мм</t>
  </si>
  <si>
    <t>100 
отверстий</t>
  </si>
  <si>
    <t>1.2</t>
  </si>
  <si>
    <t>Кирпичные, каменные и железобетонные стены</t>
  </si>
  <si>
    <t>1.2.10</t>
  </si>
  <si>
    <t>Восстановление (ремонт) облицовки плиткой</t>
  </si>
  <si>
    <t>1.2.10.2</t>
  </si>
  <si>
    <t>Ремонт облицовки из керамических глазурованных плиток</t>
  </si>
  <si>
    <t>1.2.10.2.1</t>
  </si>
  <si>
    <t>Ремонт облицовки из керамических глазурованных плиток рядовых на стенах со сменой плиток в одном месте до 10 штук</t>
  </si>
  <si>
    <t>100 плиток</t>
  </si>
  <si>
    <t>1.2.17.4</t>
  </si>
  <si>
    <t>Окрашивание поверхностей стен водоэмульсионными составами</t>
  </si>
  <si>
    <t>1.2.17.4.3</t>
  </si>
  <si>
    <t>Окрашивание водоэмульсионными составами поверхностей стен, ранее окрашенных водоэмульсионной краской с расчисткой старой краски более 35%</t>
  </si>
  <si>
    <t>100 м2 окрашиваемой поверхности</t>
  </si>
  <si>
    <t>1.2.18</t>
  </si>
  <si>
    <t>Внутренняя отделка зданий</t>
  </si>
  <si>
    <t>1.2.18.11</t>
  </si>
  <si>
    <t>Окрашивание водоэмульсионными составами поверхностей потолков, ранее окрашенных водоэмульсионной краской с расчисткой старой краски более 35%</t>
  </si>
  <si>
    <t>1.6</t>
  </si>
  <si>
    <t>Полы</t>
  </si>
  <si>
    <t>1.6.1</t>
  </si>
  <si>
    <t>Устранение  повреждений  полов в  местах  общего  пользования  многоквартирного дома</t>
  </si>
  <si>
    <t>1.6.1.1</t>
  </si>
  <si>
    <t>Заделка выбоин в цементных полах</t>
  </si>
  <si>
    <t>кв.м.</t>
  </si>
  <si>
    <t>1.6.2</t>
  </si>
  <si>
    <t>Восстановление защитноотделочного покрытия  пола</t>
  </si>
  <si>
    <t>1.6.2.1</t>
  </si>
  <si>
    <t>Ремонт покрытия полов из керамических плиток до 10 шт. размерами 300 мм*300 мм</t>
  </si>
  <si>
    <t>10 плиток</t>
  </si>
  <si>
    <t>1.6.4</t>
  </si>
  <si>
    <t>Ремонт полов</t>
  </si>
  <si>
    <t>1.6.4.4</t>
  </si>
  <si>
    <t>Ремонт бетонных полов</t>
  </si>
  <si>
    <t>1.6.4.6</t>
  </si>
  <si>
    <t>Выравнивание поверхности бетонных и цементных оснований под полы</t>
  </si>
  <si>
    <t>100 м2</t>
  </si>
  <si>
    <t>1.8</t>
  </si>
  <si>
    <t>Крыши и кровли</t>
  </si>
  <si>
    <t>1.8.1.3</t>
  </si>
  <si>
    <t>Устранение  протечек рулонной кровли</t>
  </si>
  <si>
    <t>1.8.1.3.1</t>
  </si>
  <si>
    <t>Постановка заплат на покрытия из мягкой кровли</t>
  </si>
  <si>
    <t>100 м2 покрытий</t>
  </si>
  <si>
    <t>1.8.2.2</t>
  </si>
  <si>
    <t>Ремонт, модернизация рулонной кровли</t>
  </si>
  <si>
    <t>1.8.2.2.4</t>
  </si>
  <si>
    <t>Покрытие старых рулонных кровель готовым составом (мастикой)</t>
  </si>
  <si>
    <t>1.8.7</t>
  </si>
  <si>
    <t>Восстановление (ремонт) дымовых и  вентиляционных труб</t>
  </si>
  <si>
    <t>1.8.7.3</t>
  </si>
  <si>
    <t>Прочистка засоренных вентиляционных каналов</t>
  </si>
  <si>
    <t>10 м канала</t>
  </si>
  <si>
    <t>1.8.12</t>
  </si>
  <si>
    <t>Ремонт примыканий и заделка стыков</t>
  </si>
  <si>
    <t>1.8.12.4</t>
  </si>
  <si>
    <t>Смена обделок примыканий из листовой стали к  вытяжным  трубам длиной до 1 м</t>
  </si>
  <si>
    <t>100 труб</t>
  </si>
  <si>
    <t>1.9</t>
  </si>
  <si>
    <t>Оконные и дверные проемы</t>
  </si>
  <si>
    <t>1.9.1</t>
  </si>
  <si>
    <t>Восстановление (ремонт) дверей в помещениях  общего  пользования</t>
  </si>
  <si>
    <t>1.9.1.8</t>
  </si>
  <si>
    <t>Ремонт порогов шириной 100 мм</t>
  </si>
  <si>
    <t>100 отремонтированных мест</t>
  </si>
  <si>
    <t>1.9.1.11</t>
  </si>
  <si>
    <t>Смена дверных петель при двух сменяемых петлях в полотне</t>
  </si>
  <si>
    <t>10 петель</t>
  </si>
  <si>
    <t>1.9.1.15</t>
  </si>
  <si>
    <t>Укрепление наличников дверных проемов</t>
  </si>
  <si>
    <t>1 п.м. наличника</t>
  </si>
  <si>
    <t>1.9.1.16</t>
  </si>
  <si>
    <t>Смена пружины</t>
  </si>
  <si>
    <t>1 пружина</t>
  </si>
  <si>
    <t>1.9.1.17</t>
  </si>
  <si>
    <t>Смена ручки дверной</t>
  </si>
  <si>
    <t>1 ручка</t>
  </si>
  <si>
    <t>1.9.1.18</t>
  </si>
  <si>
    <t>Смена щеколды</t>
  </si>
  <si>
    <t>100 щеколд</t>
  </si>
  <si>
    <t>1.9.1.19</t>
  </si>
  <si>
    <t>Смена замков накладных</t>
  </si>
  <si>
    <t>100 замков</t>
  </si>
  <si>
    <t>1.9.1.20</t>
  </si>
  <si>
    <t>Смена замков врезных</t>
  </si>
  <si>
    <t>1.9.1.21</t>
  </si>
  <si>
    <t>Восстановление (модернизация) остекления дверей</t>
  </si>
  <si>
    <t>100 кв.м.</t>
  </si>
  <si>
    <t>1.9.1.24</t>
  </si>
  <si>
    <t>Установка дверного доводчика к металлическим дверям</t>
  </si>
  <si>
    <t>1 доводчик</t>
  </si>
  <si>
    <t>1.9.2</t>
  </si>
  <si>
    <t>Восстановление (ремонт)  окон в  помещениях общего  пользования</t>
  </si>
  <si>
    <t>1.9.2.23</t>
  </si>
  <si>
    <t>Смена ручки оконной</t>
  </si>
  <si>
    <t>100 ручек</t>
  </si>
  <si>
    <t>1.10</t>
  </si>
  <si>
    <t>Лестницы</t>
  </si>
  <si>
    <t>1.10.3</t>
  </si>
  <si>
    <t>Ремонт  ограждений,  поручней и  предохранительных  сеток</t>
  </si>
  <si>
    <t>1.10.3.1</t>
  </si>
  <si>
    <t>Ремонт металлических лестничных решеток</t>
  </si>
  <si>
    <t>100 м решетки</t>
  </si>
  <si>
    <t>1.10.3.2</t>
  </si>
  <si>
    <t>Укрепление стоек металлических решеток ограждения  лестниц и площадок</t>
  </si>
  <si>
    <t>100 укрепляемых  стоек</t>
  </si>
  <si>
    <t>1.10.5</t>
  </si>
  <si>
    <t>Окраска  металлических  элементов  лестниц</t>
  </si>
  <si>
    <t>1.10.5.2</t>
  </si>
  <si>
    <t>Окраска масляными составами ранее окрашенных металлических решеток без рельефа за 2 раза</t>
  </si>
  <si>
    <t xml:space="preserve"> 100 м2 окрашиваемой поверхности</t>
  </si>
  <si>
    <t>1.10.6</t>
  </si>
  <si>
    <t>Ремонт  пандусов</t>
  </si>
  <si>
    <t>1.10.6.1</t>
  </si>
  <si>
    <t>Заделка трещин и мелких выбоин</t>
  </si>
  <si>
    <t>100 мест</t>
  </si>
  <si>
    <t>1.10.6.2</t>
  </si>
  <si>
    <t>Заделка отбитых мест</t>
  </si>
  <si>
    <t>2.1</t>
  </si>
  <si>
    <t>Система теплоснабжения</t>
  </si>
  <si>
    <t>2.1.2.1</t>
  </si>
  <si>
    <t>Смена отдельных участков трубопроводов из стальных водогазопроводных неоцинкованных труб на резьбе</t>
  </si>
  <si>
    <t>2.1.2.1.2</t>
  </si>
  <si>
    <t>Смена отдельных участков трубопроводов из стальных водогазопроводных неоцинкованных труб диаметром 20 мм</t>
  </si>
  <si>
    <t>100 м трубопровода</t>
  </si>
  <si>
    <t>2.1.2.1.4</t>
  </si>
  <si>
    <t>Смена отдельных участков трубопроводов из стальных водогазопроводных неоцинкованных труб диаметром 32 мм</t>
  </si>
  <si>
    <t>2.1.2.1.6</t>
  </si>
  <si>
    <t>Смена отдельных участков трубопроводов из стальных водогазопроводных неоцинкованных труб диаметром 50 мм</t>
  </si>
  <si>
    <t>2.1.5</t>
  </si>
  <si>
    <t>Восстановление теплоизоляции  систем  теплоснабжения</t>
  </si>
  <si>
    <t>2.1.5.3</t>
  </si>
  <si>
    <t>Восстановление разрушенной тепловой изоляции</t>
  </si>
  <si>
    <t>2.1.5.3.4</t>
  </si>
  <si>
    <t>Изоляция трубопроводов изделиями вспененного полиэтилена толщиной 8 мм</t>
  </si>
  <si>
    <t>10 м трубопровода</t>
  </si>
  <si>
    <t>2.1.8</t>
  </si>
  <si>
    <t>Ремонт  насосов,  магистральной запорной арматуры,  автоматических устройств</t>
  </si>
  <si>
    <t>2.1.8.8</t>
  </si>
  <si>
    <t>Смена вентиля</t>
  </si>
  <si>
    <t>2.1.8.8.1</t>
  </si>
  <si>
    <t>Смена вентиля диаметром до 25 мм</t>
  </si>
  <si>
    <t>100 вентилей</t>
  </si>
  <si>
    <t>2.1.8.9</t>
  </si>
  <si>
    <t>Установка кранов для спуска воздуха из системы</t>
  </si>
  <si>
    <t>2.1.8.9.1</t>
  </si>
  <si>
    <t>Установка кранов для спуска воздуха из системы, диаметр крана 15-20 мм</t>
  </si>
  <si>
    <t>100 кранов</t>
  </si>
  <si>
    <t>2.2</t>
  </si>
  <si>
    <t>Системы холодного и горячего водоснабжения</t>
  </si>
  <si>
    <t>2.2.1.1</t>
  </si>
  <si>
    <t>2.2.1.1.3</t>
  </si>
  <si>
    <t>Смена отдельных участков трубопроводов водоснабжения из стальных водогазопроводных оцинкованных труб диаметром  25 мм</t>
  </si>
  <si>
    <t>100 м трубопроводов</t>
  </si>
  <si>
    <t>2.2.1.1.4</t>
  </si>
  <si>
    <t>Смена отдельных участков трубопроводов водоснабжения из стальных водогазопроводных оцинкованных труб диаметром 32 мм</t>
  </si>
  <si>
    <t>2.2.3.1</t>
  </si>
  <si>
    <t>Проверка и ремонт  водяных теплообменников и водонагревателей</t>
  </si>
  <si>
    <t>2.2.3.1.3</t>
  </si>
  <si>
    <t>Теплообменник (водонагреватель)  поверхностью нагрева  до 25 кв.м</t>
  </si>
  <si>
    <t>1  теплообменник (бойлер)</t>
  </si>
  <si>
    <t>2.2.3.8</t>
  </si>
  <si>
    <t>Гидравлическое испытание теплообменника</t>
  </si>
  <si>
    <t>2.2.3.8.1</t>
  </si>
  <si>
    <t>Гидравлическое испытание теплообменника (водонагревателя)  поверхностью нагрева  до 16 кв.м</t>
  </si>
  <si>
    <t>1 теплообменник (бойлер)</t>
  </si>
  <si>
    <t>2.2.6</t>
  </si>
  <si>
    <t>Ремонт оборудования, приборов и арматуры водопроводной сети общего пользования</t>
  </si>
  <si>
    <t>2.2.6.1</t>
  </si>
  <si>
    <t>Смена вентилей и клапанов обратных муфтовых диаметром до 20 мм</t>
  </si>
  <si>
    <t>2.2.6.2</t>
  </si>
  <si>
    <t>Смена вентилей и клапанов обратных муфтовых диаметром до 32  мм</t>
  </si>
  <si>
    <t>2.3</t>
  </si>
  <si>
    <t>Система водоотведения</t>
  </si>
  <si>
    <t>2.3.1</t>
  </si>
  <si>
    <t>Смена отдельных участков трубопроводов канализации из полиэтиленовых труб высокой плотности</t>
  </si>
  <si>
    <t>2.3.1.2</t>
  </si>
  <si>
    <t>Смена горизонтальных участков трубопроводов канализации из полиэтиленовых труб высокой плотности диаметром 100 мм</t>
  </si>
  <si>
    <t>2.5</t>
  </si>
  <si>
    <t>Внутридомовое электро-, радио- и телеоборудование</t>
  </si>
  <si>
    <t>2.5.1</t>
  </si>
  <si>
    <t>Ремонт,  замена  шкафов  вводных и  вводно-распределительных устройств</t>
  </si>
  <si>
    <t>2.5.1.2</t>
  </si>
  <si>
    <t>Замена автоматического выключателя</t>
  </si>
  <si>
    <t>1 автоматический выключатель</t>
  </si>
  <si>
    <t>2.5.1.3</t>
  </si>
  <si>
    <t>Замена реле</t>
  </si>
  <si>
    <t>1 реле</t>
  </si>
  <si>
    <t>2.5.1.5</t>
  </si>
  <si>
    <t>Замена рубильника</t>
  </si>
  <si>
    <t>1 рубильник</t>
  </si>
  <si>
    <t>2.5.1.7</t>
  </si>
  <si>
    <t>Ремонт блока управления освещением</t>
  </si>
  <si>
    <t>1 блок</t>
  </si>
  <si>
    <t>2.5.1.8</t>
  </si>
  <si>
    <t>Замена магнитного пускателя</t>
  </si>
  <si>
    <t>1 пускатель</t>
  </si>
  <si>
    <t>2.5.1.9</t>
  </si>
  <si>
    <t>Ремонт магнитного пускателя</t>
  </si>
  <si>
    <t>2.5.1.10</t>
  </si>
  <si>
    <t>Ремонт устройства автоматического выключения резерва</t>
  </si>
  <si>
    <t>1 устройство АВР</t>
  </si>
  <si>
    <t>2.5.2</t>
  </si>
  <si>
    <t>Ремонт,  замена  аппаратуры  защиты,  контроля и   управления  общего  пользования</t>
  </si>
  <si>
    <t>2.5.2.2</t>
  </si>
  <si>
    <t>Ремонт установок пожаротушения, охранной, пожарной и охранно-пожарной сигнализации</t>
  </si>
  <si>
    <t>2.5.2.2.1</t>
  </si>
  <si>
    <t>Обслуживание дымового извещателя</t>
  </si>
  <si>
    <t>1 оборудование</t>
  </si>
  <si>
    <t>2.5.2.2.5</t>
  </si>
  <si>
    <t>Обслуживание извещателя пожарного ручного</t>
  </si>
  <si>
    <t>2.5.2.2.12</t>
  </si>
  <si>
    <t>Обслуживание приемно-контрольного прибора</t>
  </si>
  <si>
    <t>2.5.2.3.15</t>
  </si>
  <si>
    <t>Обслуживание сигнализатора потока жидкости</t>
  </si>
  <si>
    <t>2.5.2.4</t>
  </si>
  <si>
    <t>Ремонт пожарной автоматики</t>
  </si>
  <si>
    <t>2.5.2.4.1</t>
  </si>
  <si>
    <t>Ремонт щита дистанционного управления системой дымоудаления</t>
  </si>
  <si>
    <t>1 щит</t>
  </si>
  <si>
    <t>2.5.3</t>
  </si>
  <si>
    <t>Ремонт  внутридомового электрооборудования  общего  пользования</t>
  </si>
  <si>
    <t>2.5.3.1</t>
  </si>
  <si>
    <t>Замена электромагнитного контактора</t>
  </si>
  <si>
    <t>1 контактор</t>
  </si>
  <si>
    <t>2.5.3.2</t>
  </si>
  <si>
    <t>Текущий ремонт электродвигателя</t>
  </si>
  <si>
    <t>1 двигатель</t>
  </si>
  <si>
    <t>2.5.3.4</t>
  </si>
  <si>
    <t>Техническое  обслуживание электрического  запирающего устройства (домофон)</t>
  </si>
  <si>
    <t>1 устройство</t>
  </si>
  <si>
    <t>2.5.4</t>
  </si>
  <si>
    <t>Ремонт, замена  внутридомовых электрических сетей</t>
  </si>
  <si>
    <t>1000 пог.м.</t>
  </si>
  <si>
    <t>2.5.5</t>
  </si>
  <si>
    <t>Ремонт, замена этажных  щитков и  шкафов</t>
  </si>
  <si>
    <t>2.5.5.2</t>
  </si>
  <si>
    <t>Ремонт щитков</t>
  </si>
  <si>
    <t>2.5.7</t>
  </si>
  <si>
    <t>Ремонт,  замена  осветительных установок  помещений   общего  пользования</t>
  </si>
  <si>
    <t>2.5.7.1</t>
  </si>
  <si>
    <t>Замена выключателя</t>
  </si>
  <si>
    <t>2.5.7.2</t>
  </si>
  <si>
    <t>Замена светильника с лампами накаливания или энергосберегающими лампами</t>
  </si>
  <si>
    <t>1 светильник</t>
  </si>
  <si>
    <t>2.5.7.4</t>
  </si>
  <si>
    <t>Ремонт светильника с лампами накаливания или энергосберегающими лампами</t>
  </si>
  <si>
    <t>2.5.7.9</t>
  </si>
  <si>
    <t>Замена светильника на светодиодный светильник</t>
  </si>
  <si>
    <t>2.5.7.10</t>
  </si>
  <si>
    <t>Замена лампы на светодиодную</t>
  </si>
  <si>
    <t>1 лампа</t>
  </si>
  <si>
    <t>2.5.9</t>
  </si>
  <si>
    <t>Ремонт штепсельных розеток и выключателей</t>
  </si>
  <si>
    <t>100 розеток (выключателей)</t>
  </si>
  <si>
    <t>2.5.10</t>
  </si>
  <si>
    <t>Смена розеток</t>
  </si>
  <si>
    <t>1 
вык-атель</t>
  </si>
  <si>
    <t>2.6</t>
  </si>
  <si>
    <t>Подготовка многоквартирного дома к сезонной эксплуатации, проведение технических осмотров</t>
  </si>
  <si>
    <t>2.6.8</t>
  </si>
  <si>
    <t>Проведение технических осмотров и мелкий ремонт стен, полов, перекрытий</t>
  </si>
  <si>
    <t>2.6.8.1</t>
  </si>
  <si>
    <t>Осмотр территории вокруг здания и фундамента</t>
  </si>
  <si>
    <t>1000 кв.м. общей площади</t>
  </si>
  <si>
    <t>2.6.8.6</t>
  </si>
  <si>
    <t>Осмотр железобетонных перекрытий</t>
  </si>
  <si>
    <t>2.6.8.8</t>
  </si>
  <si>
    <t>Осмотр внутренней отделки стен</t>
  </si>
  <si>
    <t>2.6.8.9</t>
  </si>
  <si>
    <t>Осмотр заполнения дверных и оконных проемов</t>
  </si>
  <si>
    <t>2.6.9</t>
  </si>
  <si>
    <t>Осмотр всех элементов кровли, водостоков</t>
  </si>
  <si>
    <t>2.6.9.2</t>
  </si>
  <si>
    <t>Осмотр всех элементов рулонных кровель, водостоков</t>
  </si>
  <si>
    <t>1000 кв.м. кровли</t>
  </si>
  <si>
    <t>2.6.11</t>
  </si>
  <si>
    <t>Проведение технических осмотров и устранение незначительных неисправностей в  системах водоснабжения и  водоотведения</t>
  </si>
  <si>
    <t>2.6.11.1</t>
  </si>
  <si>
    <t>Осмотр водопровода, канализации и горячего водоснабжения</t>
  </si>
  <si>
    <t>100 квартир</t>
  </si>
  <si>
    <t>2.6.11.2</t>
  </si>
  <si>
    <t>Промывка участка водопровода</t>
  </si>
  <si>
    <t>100 куб.м. здания</t>
  </si>
  <si>
    <t>2.6.11.3</t>
  </si>
  <si>
    <t>Прочистка канализационного лежака</t>
  </si>
  <si>
    <t>100 м канализационного лежака</t>
  </si>
  <si>
    <t>2.6.11.4</t>
  </si>
  <si>
    <t>Проверка исправности  канализационных  вытяжек</t>
  </si>
  <si>
    <t>2.6.12</t>
  </si>
  <si>
    <t>Проведение технических осмотров и устранение незначительных неисправностей в  системах вентиляции</t>
  </si>
  <si>
    <t>2.6.12.1</t>
  </si>
  <si>
    <t>Проверка наличия тяги в  дымовентиляционных каналах</t>
  </si>
  <si>
    <t>2.6.12.2</t>
  </si>
  <si>
    <t>Проведение технических осмотров и устранение незначительных неисправностей в системе вентиляции</t>
  </si>
  <si>
    <t>2.6.13</t>
  </si>
  <si>
    <t>Проведение технических осмотров и устранение незначительных неисправностей в   электротехнических устройствах</t>
  </si>
  <si>
    <t>2.6.13.1</t>
  </si>
  <si>
    <t>Осмотр  электросети, арматуры, электрооборудования на лестничных клетках</t>
  </si>
  <si>
    <t>100 лестничных площадок</t>
  </si>
  <si>
    <t>2.6.13.2</t>
  </si>
  <si>
    <t>Осмотр  силовых установок</t>
  </si>
  <si>
    <t>1 электромотор</t>
  </si>
  <si>
    <t>2.6.13.3</t>
  </si>
  <si>
    <t>Проверка изоляции электропроводки и ее укрепление</t>
  </si>
  <si>
    <t>100 м</t>
  </si>
  <si>
    <t>2.6.13.4</t>
  </si>
  <si>
    <t>Проверка заземления оболочки электрокабеля</t>
  </si>
  <si>
    <t>2.6.14</t>
  </si>
  <si>
    <t>Проведение технических осмотров и устранение незначительных неисправностей в  системе   теплоснабжения</t>
  </si>
  <si>
    <t>2.6.14.1</t>
  </si>
  <si>
    <t>Осмотр системы центрального отопления</t>
  </si>
  <si>
    <t>2.6.14.1.1</t>
  </si>
  <si>
    <t>Осмотр внутриквартирных устройств системы центрального отопления</t>
  </si>
  <si>
    <t>2.6.14.1.2</t>
  </si>
  <si>
    <t>Осмотр устройства системы центрального отопления в чердачных и подвальных помещениях</t>
  </si>
  <si>
    <t>1000 м2 осматриваемых помещений</t>
  </si>
  <si>
    <t>2.6.14.2</t>
  </si>
  <si>
    <t>Регулировка и наладка систем отопления</t>
  </si>
  <si>
    <t>1 здание</t>
  </si>
  <si>
    <t>2.6.14.5</t>
  </si>
  <si>
    <t>Устранение незначительных неисправностей в  системе   теплоснабжения</t>
  </si>
  <si>
    <t>2.6.14.5.5</t>
  </si>
  <si>
    <t>Ликвидация воздушных пробок в системе отопления</t>
  </si>
  <si>
    <t>2.6.14.5.5.1</t>
  </si>
  <si>
    <t>Ликвидация воздушных пробок в стояке системы отопления</t>
  </si>
  <si>
    <t>100 стояков</t>
  </si>
  <si>
    <t>2.6.14.5.5.2</t>
  </si>
  <si>
    <t>Ликвидация воздушных пробок в радиаторном блоке</t>
  </si>
  <si>
    <t>100 радиаторных блоков</t>
  </si>
  <si>
    <t>2.6.14.5.6</t>
  </si>
  <si>
    <t>Ремонт кранов регулировки у радиаторных блоков</t>
  </si>
  <si>
    <t>2.6.14.5.7</t>
  </si>
  <si>
    <t>Мелкий ремонт изоляции</t>
  </si>
  <si>
    <t>2.6.14.5.7.1</t>
  </si>
  <si>
    <t>Мелкий ремонт изоляции трубопроводов при диаметре 50 мм</t>
  </si>
  <si>
    <t>2.6.14.5.7.2</t>
  </si>
  <si>
    <t>Мелкий ремонт изоляции трубопроводов при диаметре 75 мм</t>
  </si>
  <si>
    <t>2.6.15.4</t>
  </si>
  <si>
    <t>Проверка и обслуживание коллективных узлов учета тепловой энергии диаметром 50-250 мм</t>
  </si>
  <si>
    <t>2.6.15.4.1</t>
  </si>
  <si>
    <t>Визуальный осмотр и проверка наличия и нарушения пломб (узел учета тепловой энергии диаметром 50-250 мм)</t>
  </si>
  <si>
    <t>1 узел учета</t>
  </si>
  <si>
    <t>2.7</t>
  </si>
  <si>
    <t>Устранение аварии и выполнение заявок населения</t>
  </si>
  <si>
    <t>2.7.2</t>
  </si>
  <si>
    <t>Устранение аварии на внутридомовых инженерных сетях и выполнение заявок населения (в домах, не оборудованных газовыми плитами)</t>
  </si>
  <si>
    <t>2.7.2.2</t>
  </si>
  <si>
    <t>Устранение аварии на внутридомовых инженерных сетях при сроке эксплуатации многоквартирного дома от 11 до 30  лет</t>
  </si>
  <si>
    <t>1000 м2  общей площади жилых помещений, не оборудованных газовыми плитами (в год для одной смены)</t>
  </si>
  <si>
    <t>2.10</t>
  </si>
  <si>
    <t>Лифты</t>
  </si>
  <si>
    <t>2.10.1</t>
  </si>
  <si>
    <t>Содержание лифтов</t>
  </si>
  <si>
    <t>2.10.1.1</t>
  </si>
  <si>
    <t>Диспетчерское обслуживание лифтов</t>
  </si>
  <si>
    <t xml:space="preserve"> пульт управления оборудованием жилых зданий</t>
  </si>
  <si>
    <t>2.10.1.2</t>
  </si>
  <si>
    <t>Ежедневное обслуживание</t>
  </si>
  <si>
    <t>2.10.1.2.4</t>
  </si>
  <si>
    <t>Ежедневное обслуживание лифтов в многоквартирных домах высотой 13 и выше этажей</t>
  </si>
  <si>
    <t>1 лифт</t>
  </si>
  <si>
    <t>2.10.1.3</t>
  </si>
  <si>
    <t>Периодические осмотры</t>
  </si>
  <si>
    <t>2.10.1.3.1</t>
  </si>
  <si>
    <t>Проверка двухсторонней переговорной связи и сигналов неисправности лифта из кабины</t>
  </si>
  <si>
    <t>1 кабина</t>
  </si>
  <si>
    <t>2.10.1.3.2</t>
  </si>
  <si>
    <t>Проверка машинного помещения</t>
  </si>
  <si>
    <t>1 машинное помещение</t>
  </si>
  <si>
    <t>2.10.1.3.4</t>
  </si>
  <si>
    <t>Проверка освещения лифта</t>
  </si>
  <si>
    <t>2.10.1.3.5</t>
  </si>
  <si>
    <t>Проверка точности остановок и работы лифта по вызовам</t>
  </si>
  <si>
    <t>1 этаж</t>
  </si>
  <si>
    <t>2.10.1.3.6</t>
  </si>
  <si>
    <t>Проверка точности остановок и работы лифта по приказам</t>
  </si>
  <si>
    <t>2.10.1.3.7</t>
  </si>
  <si>
    <t>Проверка ограждения и надежности запирания дверей шахты (ДШ)</t>
  </si>
  <si>
    <t>2.10.1.3.8</t>
  </si>
  <si>
    <t>Проверка автоматических замков дверей шахты и кабины лифта с раздвижными дверями</t>
  </si>
  <si>
    <t>2.10.1.3.9</t>
  </si>
  <si>
    <t>Проверка купе кабины лифта</t>
  </si>
  <si>
    <t>1 купе</t>
  </si>
  <si>
    <t>2.10.1.3.11</t>
  </si>
  <si>
    <t>Проверка электромагнитной отмотки (ЭМО)</t>
  </si>
  <si>
    <t>1 ЭМО</t>
  </si>
  <si>
    <t>2.10.1.4</t>
  </si>
  <si>
    <t>Техническое обслуживание</t>
  </si>
  <si>
    <t>2.10.1.4.1</t>
  </si>
  <si>
    <t>Техническое обслуживание систем ЛДСС</t>
  </si>
  <si>
    <t>2.10.1.4.1.1</t>
  </si>
  <si>
    <t>Проверка работы  пульта</t>
  </si>
  <si>
    <t>пульт</t>
  </si>
  <si>
    <t>2.10.1.4.1.3</t>
  </si>
  <si>
    <t>Проверка состояния  диспетчерских систем в лифте</t>
  </si>
  <si>
    <t>2.10.1.4.2</t>
  </si>
  <si>
    <t>Техническое обслуживание лифтов (ТО-1)</t>
  </si>
  <si>
    <t>2.10.1.4.2.1</t>
  </si>
  <si>
    <t>Тормозное устройство</t>
  </si>
  <si>
    <t>1 тормозное устройство</t>
  </si>
  <si>
    <t>2.10.1.4.2.2</t>
  </si>
  <si>
    <t>Проверка работы лифта</t>
  </si>
  <si>
    <t>2.10.1.4.2.3</t>
  </si>
  <si>
    <t>Шахта</t>
  </si>
  <si>
    <t>2.10.1.4.2.4</t>
  </si>
  <si>
    <t>Двери шахты лифта автоматические</t>
  </si>
  <si>
    <t>2.10.1.4.2.7</t>
  </si>
  <si>
    <t>Направляющая кабины или противовеса</t>
  </si>
  <si>
    <t>2.10.1.4.2.8</t>
  </si>
  <si>
    <t>Электромагнит тормозного устройства</t>
  </si>
  <si>
    <t>электромагнит</t>
  </si>
  <si>
    <t>2.10.1.4.2.9</t>
  </si>
  <si>
    <t>Канатоведущий шкив (КВШ)</t>
  </si>
  <si>
    <t>КВШ</t>
  </si>
  <si>
    <t>2.10.1.4.2.10</t>
  </si>
  <si>
    <t>Подвеска кабины</t>
  </si>
  <si>
    <t>подвеска</t>
  </si>
  <si>
    <t>2.10.1.4.2.11</t>
  </si>
  <si>
    <t>Устройство слабины подъемных канатов (СПК)</t>
  </si>
  <si>
    <t>2.10.1.4.2.12</t>
  </si>
  <si>
    <t>Смазывающие</t>
  </si>
  <si>
    <t>смазывающий аппарат</t>
  </si>
  <si>
    <t>2.10.1.4.2.13</t>
  </si>
  <si>
    <t>Ловители</t>
  </si>
  <si>
    <t>1 система</t>
  </si>
  <si>
    <t>2.10.1.4.2.14</t>
  </si>
  <si>
    <t>Башмаки кабины и противовеса</t>
  </si>
  <si>
    <t>1 башмак</t>
  </si>
  <si>
    <t>2.10.1.4.2.15</t>
  </si>
  <si>
    <t>Пост управления</t>
  </si>
  <si>
    <t>2.10.1.4.2.16</t>
  </si>
  <si>
    <t>Подвижный пол кабины</t>
  </si>
  <si>
    <t>2.10.1.4.2.17</t>
  </si>
  <si>
    <t>Кабина лифта</t>
  </si>
  <si>
    <t>2.10.1.4.2.19</t>
  </si>
  <si>
    <t>Крыша кабины и каркас</t>
  </si>
  <si>
    <t>2.10.1.4.2.20</t>
  </si>
  <si>
    <t>Привод дверей кабины</t>
  </si>
  <si>
    <t>1 привод</t>
  </si>
  <si>
    <t>2.10.1.4.2.22</t>
  </si>
  <si>
    <t>Канаты тяговые или ограничители скорости</t>
  </si>
  <si>
    <t>2.10.1.4.2.24</t>
  </si>
  <si>
    <t>Датчики селекции или точной остановки</t>
  </si>
  <si>
    <t>1 датчик</t>
  </si>
  <si>
    <t>2.10.1.4.2.25</t>
  </si>
  <si>
    <t>Вызывные аппараты</t>
  </si>
  <si>
    <t>1 аппарат</t>
  </si>
  <si>
    <t>2.10.1.4.2.26</t>
  </si>
  <si>
    <t>Очистка приямка</t>
  </si>
  <si>
    <t>приямок</t>
  </si>
  <si>
    <t>2.10.1.4.2.27</t>
  </si>
  <si>
    <t>Натяжное устройство</t>
  </si>
  <si>
    <t>2.10.1.4.2.28</t>
  </si>
  <si>
    <t>Электроаппараты, установленные в приямке</t>
  </si>
  <si>
    <t>электроаппарат</t>
  </si>
  <si>
    <t>2.10.1.4.2.29</t>
  </si>
  <si>
    <t>Ограничитель скорости (ОС)</t>
  </si>
  <si>
    <t>ОС</t>
  </si>
  <si>
    <t>2.10.1.4.2.30</t>
  </si>
  <si>
    <t>Проверка исправности работы ограничителя скорости (ОС)</t>
  </si>
  <si>
    <t>2.10.1.4.2.32</t>
  </si>
  <si>
    <t>Электропроводка в шахте лифта</t>
  </si>
  <si>
    <t>шахта</t>
  </si>
  <si>
    <t>2.10.1.4.3</t>
  </si>
  <si>
    <t>Техническое обслуживание лифтов (ТО-2)</t>
  </si>
  <si>
    <t>2.10.1.4.3.1</t>
  </si>
  <si>
    <t>Электродвигатель главного привода</t>
  </si>
  <si>
    <t>1 электродвигатель</t>
  </si>
  <si>
    <t>2.10.1.4.3.2</t>
  </si>
  <si>
    <t>Редуктор главного привода</t>
  </si>
  <si>
    <t>1 редуктор</t>
  </si>
  <si>
    <t>2.10.1.4.3.3</t>
  </si>
  <si>
    <t>Отводные блоки</t>
  </si>
  <si>
    <t>2.10.1.4.3.4</t>
  </si>
  <si>
    <t>Шкаф управления лифтом</t>
  </si>
  <si>
    <t>1 шкаф</t>
  </si>
  <si>
    <t>2.10.1.4.3.5</t>
  </si>
  <si>
    <t>Трансформаторы</t>
  </si>
  <si>
    <t>1 трансформатор</t>
  </si>
  <si>
    <t>2.10.1.4.3.6</t>
  </si>
  <si>
    <t>Электропроводка в клеммной коробке кабины</t>
  </si>
  <si>
    <t>10 клемм</t>
  </si>
  <si>
    <t>2.10.1.4.3.7</t>
  </si>
  <si>
    <t>Электроаппараты на крыше кабины (КЛ, СПК, ДУСК, ДТО и др.)</t>
  </si>
  <si>
    <t>2.10.1.4.3.8</t>
  </si>
  <si>
    <t>Подвесной кабель</t>
  </si>
  <si>
    <t>1 кабель</t>
  </si>
  <si>
    <t>2.10.1.4.3.9</t>
  </si>
  <si>
    <t>Подвеска противовеса</t>
  </si>
  <si>
    <t>1 противовес</t>
  </si>
  <si>
    <t>2.10.1.4.3.10</t>
  </si>
  <si>
    <t>Каркас противовеса</t>
  </si>
  <si>
    <t>2.10.1.4.3.13</t>
  </si>
  <si>
    <t>Конечный выключатель на лифтах</t>
  </si>
  <si>
    <t>1 выключатель</t>
  </si>
  <si>
    <t>2.10.1.4.3.14</t>
  </si>
  <si>
    <t>Буферное устройство</t>
  </si>
  <si>
    <t>буферное устройство</t>
  </si>
  <si>
    <t>2.10.1.4.3.15</t>
  </si>
  <si>
    <t>Вводный рубильник</t>
  </si>
  <si>
    <t>рубильник</t>
  </si>
  <si>
    <t>2.10.1.5</t>
  </si>
  <si>
    <t>Периодическое освидетельствование</t>
  </si>
  <si>
    <t>2.10.1.6</t>
  </si>
  <si>
    <t>Текущий ремонт</t>
  </si>
  <si>
    <t>2.10.1.6.1</t>
  </si>
  <si>
    <t>Текущий ремонт систем ЛДСС</t>
  </si>
  <si>
    <t>2.10.1.6.1.1</t>
  </si>
  <si>
    <t>Текущий ремонт пульта управления</t>
  </si>
  <si>
    <t>1 пульт</t>
  </si>
  <si>
    <t>2.10.1.6.1.3</t>
  </si>
  <si>
    <t>Текущий ремонт систем управления диспетчерской связи в лифтах</t>
  </si>
  <si>
    <t>2.10.1.6.2</t>
  </si>
  <si>
    <t>Текущий ремонт лифтов</t>
  </si>
  <si>
    <t>2.10.1.6.2.7</t>
  </si>
  <si>
    <t>Замена каретки двери шахты</t>
  </si>
  <si>
    <t>2.10.1.6.2.7.2</t>
  </si>
  <si>
    <t>Замена каретки двери шахты лифта грузоподъемностью 400 кг</t>
  </si>
  <si>
    <t>1 каретка</t>
  </si>
  <si>
    <t>2.10.1.6.2.7.3</t>
  </si>
  <si>
    <t>Замена каретки двери шахты лифта грузоподъемностью 630 кг</t>
  </si>
  <si>
    <t>2.10.1.6.2.8</t>
  </si>
  <si>
    <t>Замена блок-контакта дверей шахты</t>
  </si>
  <si>
    <t>1 блок-контакт</t>
  </si>
  <si>
    <t>2.10.1.6.2.13</t>
  </si>
  <si>
    <t>Замена капронового ролика на каретке верхней балки</t>
  </si>
  <si>
    <t>1 ролик</t>
  </si>
  <si>
    <t>2.10.1.6.2.21</t>
  </si>
  <si>
    <t>Замена башмаков створки дверей кабины</t>
  </si>
  <si>
    <t>2.10.1.6.2.27</t>
  </si>
  <si>
    <t>Замена каната связи створок дверей кабины</t>
  </si>
  <si>
    <t>1 канат</t>
  </si>
  <si>
    <t>2.10.1.6.2.36</t>
  </si>
  <si>
    <t>Промывка, прочистка противовеса</t>
  </si>
  <si>
    <t>2.10.1.6.2.44</t>
  </si>
  <si>
    <t>Замена индуктивного датчика типа ИКВ или контактного типа ДПЭ</t>
  </si>
  <si>
    <t>2.10.1.7</t>
  </si>
  <si>
    <t>Аварийное обслуживание лифтов</t>
  </si>
  <si>
    <t>1 лифт в год</t>
  </si>
  <si>
    <t>3.1</t>
  </si>
  <si>
    <t>Работы по санитарному содержанию помещений общего пользования, системы мусороудаления и фасадов</t>
  </si>
  <si>
    <t>3.1.1</t>
  </si>
  <si>
    <t>Подметание и мытье полов во всех помещениях  общего пользования, кабинах лифта и их влажная уборка</t>
  </si>
  <si>
    <t>3.1.1.3</t>
  </si>
  <si>
    <t>Подметание и влажная уборка полов во всех помещениях  общего пользования в многоквартирном доме с лифтами без  мусоропроводов</t>
  </si>
  <si>
    <t>3.1.1.3.1</t>
  </si>
  <si>
    <t>Подметание лестничных площадок и маршей</t>
  </si>
  <si>
    <t>3.1.1.3.1.1</t>
  </si>
  <si>
    <t>Подметание лестничных площадок и маршей нижних трех этажей с предварительным их увлажнением (в доме с лифтами без мусоропроводов)</t>
  </si>
  <si>
    <t>100 м2  убираемой  площади</t>
  </si>
  <si>
    <t>3.1.1.3.1.2</t>
  </si>
  <si>
    <t>Подметание лестничных площадок и маршей выше третьего этажа с предварительным их увлажнением  (в доме с лифтами без мусоропроводов)</t>
  </si>
  <si>
    <t>100 м2 убираемой  площади</t>
  </si>
  <si>
    <t>3.1.1.3.1.3</t>
  </si>
  <si>
    <t>Подметание кабин лифтов  с предварительным их увлажнением  (в доме с лифтами без мусоропроводов)</t>
  </si>
  <si>
    <t>100 м2  лифтов</t>
  </si>
  <si>
    <t>3.1.1.3.2</t>
  </si>
  <si>
    <t>Мытье лестничных площадок и маршей</t>
  </si>
  <si>
    <t>3.1.1.3.2.1</t>
  </si>
  <si>
    <t>Мытье  лестничных площадок и маршей нижних трех этажей  (в доме с лифтами без мусоропроводов)</t>
  </si>
  <si>
    <t>3.1.1.3.2.2</t>
  </si>
  <si>
    <t>Мытье  лестничных площадок и маршей  выше третьего этажа  (в доме с лифтами без мусоропроводов)</t>
  </si>
  <si>
    <t>3.1.1.3.2.3</t>
  </si>
  <si>
    <t>Мытье  лифтов  (в доме с лифтами без мусоропроводов)</t>
  </si>
  <si>
    <t>3.1.3</t>
  </si>
  <si>
    <t>Протирка пыли  с колпаков  светильников, подоконников в помещениях общего  пользования</t>
  </si>
  <si>
    <t>3.1.3.2</t>
  </si>
  <si>
    <t>Протирка пыли  с подоконников в помещениях общего  пользования</t>
  </si>
  <si>
    <t xml:space="preserve">100 м2 подоконников </t>
  </si>
  <si>
    <t>3.1.4</t>
  </si>
  <si>
    <t>Мытье и протирка дверей и окон в помещениях общего пользования, включая двери  мусорных камер</t>
  </si>
  <si>
    <t>3.1.4.1</t>
  </si>
  <si>
    <t>Мытье и протирка дверей  в помещениях общего пользования</t>
  </si>
  <si>
    <t>100 м2 дверей</t>
  </si>
  <si>
    <t>3.1.4.2</t>
  </si>
  <si>
    <t>Мытье и протирка оконных рам и переплетов в помещениях общего пользования</t>
  </si>
  <si>
    <t>100 м2 оконных рам</t>
  </si>
  <si>
    <t>3.1.4.3</t>
  </si>
  <si>
    <t>Мытье и протирка легкодоступных стекол в окнах  в помещениях общего пользования</t>
  </si>
  <si>
    <t>100 м2 окон</t>
  </si>
  <si>
    <t>3.1.9</t>
  </si>
  <si>
    <t>Влажная протирка элементов лестничных клеток</t>
  </si>
  <si>
    <t>3.1.9.1</t>
  </si>
  <si>
    <t>Влажная протирка почтовых ящиков (с моющим средством)</t>
  </si>
  <si>
    <t>100 кв.м почтовых ящиков</t>
  </si>
  <si>
    <t>3.1.9.5</t>
  </si>
  <si>
    <t>Влажная протирка шкафов для электросчетчиков слаботочных устройств  (с моющим средством)</t>
  </si>
  <si>
    <t>100 кв. м шкафов для электросчетчиков слаботочных устройств</t>
  </si>
  <si>
    <t>3.1.9.7</t>
  </si>
  <si>
    <t>Влажная протирка перил лестниц (с моющим средством)</t>
  </si>
  <si>
    <t>100 кв.м. перил лестниц</t>
  </si>
  <si>
    <t>3.1.9.10</t>
  </si>
  <si>
    <t>Влажная протирка стен (с моющим средством)</t>
  </si>
  <si>
    <t>100 кв. м стен</t>
  </si>
  <si>
    <t>3.1.10</t>
  </si>
  <si>
    <t>Уборка кабин лифтов</t>
  </si>
  <si>
    <t>3.1.10.1</t>
  </si>
  <si>
    <t>Влажное подметание пола кабины лифта</t>
  </si>
  <si>
    <t>100 м2 пола лифта</t>
  </si>
  <si>
    <t>3.1.10.2</t>
  </si>
  <si>
    <t>Мытье пола кабины лифта</t>
  </si>
  <si>
    <t>100 м2 пола лифтов</t>
  </si>
  <si>
    <t>3.1.10.3</t>
  </si>
  <si>
    <t>Протирка стен и дверей кабины лифта (с моющим средством)</t>
  </si>
  <si>
    <t>3.1.11</t>
  </si>
  <si>
    <t>Обметание пыли с потолков</t>
  </si>
  <si>
    <t>100 кв. м. потолков</t>
  </si>
  <si>
    <t>3.1.13</t>
  </si>
  <si>
    <t>Содержание и ремонт информационных щитов</t>
  </si>
  <si>
    <t>3.1.13.1</t>
  </si>
  <si>
    <t>Мытье остекления щита</t>
  </si>
  <si>
    <t>кв.м</t>
  </si>
  <si>
    <t>3.2</t>
  </si>
  <si>
    <t>Уборка земельного участка, входящего в состав общего имущества многоквартирного дома</t>
  </si>
  <si>
    <t>3.2.9</t>
  </si>
  <si>
    <t>Очистка кровли</t>
  </si>
  <si>
    <t>3.2.9.4</t>
  </si>
  <si>
    <t>Очистка кровли от мусора, листьев</t>
  </si>
  <si>
    <t>100 кв.м кровли</t>
  </si>
  <si>
    <t>3.2.11</t>
  </si>
  <si>
    <t>Уборка крыльца и площадки перед входом в подъезд (в холодный период года)</t>
  </si>
  <si>
    <t>100 кв.м</t>
  </si>
  <si>
    <t>3.2.12</t>
  </si>
  <si>
    <t>Уборка крыльца и площадки перед входом в подъезд (в теплый период года)</t>
  </si>
  <si>
    <t>3.2.14</t>
  </si>
  <si>
    <t>Очистка контейнерной площадки в холодный период</t>
  </si>
  <si>
    <t>3.2.15</t>
  </si>
  <si>
    <t>Уборка мусора на  контейнерных  площадках</t>
  </si>
  <si>
    <t>на 100 кв.м.</t>
  </si>
  <si>
    <t>3.4</t>
  </si>
  <si>
    <t>Прочие работы</t>
  </si>
  <si>
    <t>3.4.1</t>
  </si>
  <si>
    <t>Дератизация чердаков и подвалов</t>
  </si>
  <si>
    <t>3.4.1.1</t>
  </si>
  <si>
    <t>Дератизация чердаков и подвалов с применением гельцина</t>
  </si>
  <si>
    <t>1000 м2  обрабатываемых  помещений</t>
  </si>
  <si>
    <t>3.5</t>
  </si>
  <si>
    <t>Услуги вывоза бытовых отходов</t>
  </si>
  <si>
    <t>3.5.1</t>
  </si>
  <si>
    <t>Вывоз твердых  бытовых отходов</t>
  </si>
  <si>
    <t>3.5.1.1</t>
  </si>
  <si>
    <t>Вывоз ТБО кузовными мусоровозами 7,5-11 куб. м (коэффициент уплотнения 1,6)</t>
  </si>
  <si>
    <t>3.5.1.1.1</t>
  </si>
  <si>
    <t>Механизированная погрузка твердых бытовых отходов в кузовные мусоровозы и разгрузка мусоровозов на полигоне ТБО</t>
  </si>
  <si>
    <t>100 куб.м</t>
  </si>
  <si>
    <t>3.5.1.1.2</t>
  </si>
  <si>
    <t>Транспортировка ТБО  на мусоровозе 7,5-11 куб. м (коэффициент уплотнения 1,6)</t>
  </si>
  <si>
    <t>100 куб.м/км</t>
  </si>
  <si>
    <t>2.5.2.3</t>
  </si>
  <si>
    <t>Ремонт средств химического, автоматического газового, водяного и пенного пожаротушения</t>
  </si>
  <si>
    <t>2.5.2.3.4</t>
  </si>
  <si>
    <t>Обслуживание задвижек</t>
  </si>
  <si>
    <t>2.5.2.3.5</t>
  </si>
  <si>
    <t>Ремонт задвижек</t>
  </si>
  <si>
    <t>2.5.2.3.14</t>
  </si>
  <si>
    <t>Обслуживание сигнализатора давления</t>
  </si>
  <si>
    <t>Дата размещения отчета: "17" марта 2026 г.</t>
  </si>
  <si>
    <t>Итого:</t>
  </si>
  <si>
    <t>№ п/п</t>
  </si>
  <si>
    <t>Наименование работы</t>
  </si>
  <si>
    <t>основание 
проведения
 рабрт</t>
  </si>
  <si>
    <t>Стоимость
 работы по 
текущему рем
онту общего 
имущества, руб.</t>
  </si>
  <si>
    <t>Объем выполнен
ных работ с едини
цами измерения</t>
  </si>
  <si>
    <t>Реквизиты акта выполненных работ или адрес сайта в 
информационнотелекоммуникационной сети "Интернет",
 где размещен такой  акт, при наличии    подписанного акта</t>
  </si>
  <si>
    <t>1</t>
  </si>
  <si>
    <t>Крыши и кровли, подвал</t>
  </si>
  <si>
    <t>Восстановление кровельного покрытия</t>
  </si>
  <si>
    <t>Замена поврежденных участков кровельного покрытия</t>
  </si>
  <si>
    <t>20 м2</t>
  </si>
  <si>
    <t>Гидроизоляция</t>
  </si>
  <si>
    <t>2</t>
  </si>
  <si>
    <t>1.1.2.3</t>
  </si>
  <si>
    <t xml:space="preserve">Гидроизоляция  деформационного шва в плите перекрытия методом инъектирования на мм 204 </t>
  </si>
  <si>
    <t>5 м.п.</t>
  </si>
  <si>
    <t>1.1.2.3.1</t>
  </si>
  <si>
    <t>Гидроизоляция (инъектирование)стыка потолочной плиты и потолочной балки над машиноместами 152, 153, 154, 155, 234, 235. Покраска стены.</t>
  </si>
  <si>
    <t>10 м.п.</t>
  </si>
  <si>
    <t xml:space="preserve">Штукатурные и покрасочные работы стены запасного выхода из паркинга </t>
  </si>
  <si>
    <t>10 м2</t>
  </si>
  <si>
    <t>Замена наружных деревянных дверей на эвакуационных выходах из паркинга .</t>
  </si>
  <si>
    <t>2 шт</t>
  </si>
  <si>
    <t xml:space="preserve">   </t>
  </si>
  <si>
    <t>1.2.1</t>
  </si>
  <si>
    <t>1.2.2</t>
  </si>
  <si>
    <t>3</t>
  </si>
  <si>
    <t>Ремонт  электрооборудования  общего  пользования в паркинге</t>
  </si>
  <si>
    <t>Электропроводка паркинга</t>
  </si>
  <si>
    <t>Замена поврежденных участков металлических труб электропроводки на -1, -2, -3 этажах паркинга</t>
  </si>
  <si>
    <t>3.1.2</t>
  </si>
  <si>
    <t>Замена поврежденных распаечных коробок электропроводки на -1, -2, -3 этажах паркинга</t>
  </si>
  <si>
    <t>50 пог.м.</t>
  </si>
  <si>
    <t>10 шт.</t>
  </si>
  <si>
    <t>4</t>
  </si>
  <si>
    <t>Благоустройство</t>
  </si>
  <si>
    <t>4.1</t>
  </si>
  <si>
    <t>Высадка цветов в клумбы</t>
  </si>
  <si>
    <t>16 клумб</t>
  </si>
  <si>
    <t>подготовка к ЗПЭ</t>
  </si>
  <si>
    <t>заявка</t>
  </si>
  <si>
    <t>подготовка 
к ЗПЭ</t>
  </si>
  <si>
    <t>7</t>
  </si>
  <si>
    <t>7.1</t>
  </si>
  <si>
    <t>7.2</t>
  </si>
  <si>
    <t>7.3</t>
  </si>
  <si>
    <t>Ремонт лебедки лифта №1</t>
  </si>
  <si>
    <t>неисправ
ность</t>
  </si>
  <si>
    <t xml:space="preserve">No48 от 20.05.2025 </t>
  </si>
  <si>
    <t>№ 1 от 17.01.2025</t>
  </si>
  <si>
    <t>№ 10 от 18.04.2025 г</t>
  </si>
  <si>
    <t>№ б/н от 15.07.2025</t>
  </si>
  <si>
    <t>№ 4 от 15.04.2025</t>
  </si>
  <si>
    <t>№6 от 24.04.2025</t>
  </si>
  <si>
    <t>№2 от 25.03.2025</t>
  </si>
  <si>
    <t>№ 144 от 02.12.2024 г.</t>
  </si>
  <si>
    <t>Количество направленных
 претензий потребителям-
должникам</t>
  </si>
  <si>
    <t>Количество
 направленных исковых
 заявлений, заявлений 
на выдачу судебного приказа</t>
  </si>
  <si>
    <t>Общая сумма поступивших денежных средств по исковым 
заявлениям и судебным приказам, поданным в отчетном
 периоде и исполненных в принудительном порядке, в том
 числе исполненных после отчетного периода</t>
  </si>
  <si>
    <t>Вид
платежа</t>
  </si>
  <si>
    <t>Задолженность на начало
 отчетного периода, руб.</t>
  </si>
  <si>
    <t>Размер начислен-
ных средств, руб.</t>
  </si>
  <si>
    <t>Размер поступивших
 средств, руб.</t>
  </si>
  <si>
    <t>Задолженность на
 1 января периода,
 следующего за 
отчетным, руб.</t>
  </si>
  <si>
    <t>Платежи собственников
 помещений в многоквар
тирном доме</t>
  </si>
  <si>
    <t>Платежи нанимателей 
помещений в многоквар
тирном доме</t>
  </si>
  <si>
    <t>Смена отдельных участков трубопроводов  горячего водоснабжения из стальных водогазопроводных оцинкованных труб при соединении труб на  резьбе</t>
  </si>
  <si>
    <t>Замена каната ограничителя  скорости на лифте</t>
  </si>
  <si>
    <t>Укорачивание канатов главного привода на лифте</t>
  </si>
  <si>
    <t>4. Сведения о претензионно-исковой работе в отношении собственников и нанимателей помещений в многоквартирном доме, имеющих задолженность по  оплате за жилое помещение и (или) коммунальные услуги:</t>
  </si>
  <si>
    <t>5. Сведения о начислениях лица, осуществляющего управление многоквартирным домом, собственникам и нанимателям помещений в многоквартирном  доме за выполненные работы (оказанные услуги) по содержанию, управлению и текущему ремонту общего имущества многоквартирного дома, в том числе за оказанные дополнительные услуги (оказываемые на основании решений общего собрания собственников помещений в многоквартирном доме), о поступ-
лении средств от собственников и нанимателей помещений в многоквартирном доме за указанные работы (услуги) за отчетный период:</t>
  </si>
  <si>
    <r>
      <t>2. За отчетный период выполнены следующие работы по текущему ремонту общего имущества собственников помещений в многоквартирном доме: Остаток (перерасход (сальдо) денежных средств на финансирование текущего ремонта на 1 января отчетного периода: __</t>
    </r>
    <r>
      <rPr>
        <sz val="14"/>
        <rFont val="Calibri"/>
        <family val="2"/>
        <charset val="204"/>
        <scheme val="minor"/>
      </rPr>
      <t>0,0_</t>
    </r>
    <r>
      <rPr>
        <sz val="14"/>
        <color theme="1"/>
        <rFont val="Calibri"/>
        <family val="2"/>
        <charset val="204"/>
        <scheme val="minor"/>
      </rPr>
      <t xml:space="preserve">__ руб. Общий объем 
денежных средств, подлежащий внесению собственниками помещений в многоквартирном доме в качестве платы за текущий ремонт общего имущества  многоквартирного дома в составе платы за содержание жилого помещения, за отчетный период: </t>
    </r>
    <r>
      <rPr>
        <b/>
        <sz val="14"/>
        <color theme="1"/>
        <rFont val="Calibri"/>
        <family val="2"/>
        <charset val="204"/>
        <scheme val="minor"/>
      </rPr>
      <t>1 056 264 руб</t>
    </r>
    <r>
      <rPr>
        <sz val="14"/>
        <color theme="1"/>
        <rFont val="Calibri"/>
        <family val="2"/>
        <charset val="204"/>
        <scheme val="minor"/>
      </rPr>
      <t xml:space="preserve">. Стоимость работ по текущему ремонту, 
выполненных за отчетный период: </t>
    </r>
    <r>
      <rPr>
        <b/>
        <sz val="14"/>
        <color theme="1"/>
        <rFont val="Calibri"/>
        <family val="2"/>
        <charset val="204"/>
        <scheme val="minor"/>
      </rPr>
      <t>1 056 264  руб.</t>
    </r>
    <r>
      <rPr>
        <sz val="14"/>
        <color theme="1"/>
        <rFont val="Calibri"/>
        <family val="2"/>
        <charset val="204"/>
        <scheme val="minor"/>
      </rPr>
      <t xml:space="preserve"> Остаток (перерасход (сальдо) денежных средств на финансирование текущего ремонта на 31 декабря отчетного  периода: </t>
    </r>
    <r>
      <rPr>
        <sz val="14"/>
        <rFont val="Calibri"/>
        <family val="2"/>
        <charset val="204"/>
        <scheme val="minor"/>
      </rPr>
      <t>__0,0_</t>
    </r>
    <r>
      <rPr>
        <sz val="14"/>
        <color theme="1"/>
        <rFont val="Calibri"/>
        <family val="2"/>
        <charset val="204"/>
        <scheme val="minor"/>
      </rPr>
      <t>___ руб.</t>
    </r>
  </si>
  <si>
    <r>
      <t>3. Стоимость услуг по управлению многоквартирным домом, оказанных за отчетный период:</t>
    </r>
    <r>
      <rPr>
        <b/>
        <sz val="14"/>
        <color theme="1"/>
        <rFont val="Calibri"/>
        <family val="2"/>
        <charset val="204"/>
        <scheme val="minor"/>
      </rPr>
      <t xml:space="preserve"> 2 304 541,72 руб</t>
    </r>
    <r>
      <rPr>
        <sz val="14"/>
        <color theme="1"/>
        <rFont val="Calibri"/>
        <family val="2"/>
        <charset val="204"/>
        <scheme val="minor"/>
      </rPr>
      <t>.</t>
    </r>
  </si>
  <si>
    <t>Заделка отверстий в бетонных и железобетонных стенах и перегородках с площадью
 отверстий до 0,1 кв.м и глубиной до 100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</si>
</sst>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5" formatCode="#\ ###\ ##0.00"/>
  </numFmts>
  <fonts count="20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u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0"/>
      <name val="Calibri"/>
      <family val="2"/>
      <charset val="204"/>
    </font>
    <font>
      <b/>
      <sz val="11"/>
      <name val="Calibri"/>
      <family val="2"/>
    </font>
    <font>
      <b/>
      <sz val="10"/>
      <name val="Calibri"/>
      <family val="2"/>
    </font>
    <font>
      <b/>
      <sz val="14"/>
      <color theme="1"/>
      <name val="Times New Roman"/>
      <family val="1"/>
      <charset val="204"/>
    </font>
    <font>
      <sz val="14"/>
      <name val="Calibri"/>
      <family val="2"/>
    </font>
    <font>
      <sz val="14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Calibri"/>
      <family val="2"/>
    </font>
    <font>
      <b/>
      <sz val="14"/>
      <name val="Calibri"/>
      <family val="2"/>
      <charset val="204"/>
    </font>
    <font>
      <sz val="14"/>
      <name val="Calibri"/>
      <family val="2"/>
      <charset val="204"/>
    </font>
    <font>
      <sz val="14"/>
      <name val="Calibri"/>
      <family val="2"/>
      <scheme val="minor"/>
    </font>
    <font>
      <b/>
      <sz val="14"/>
      <name val="Calibri"/>
      <family val="2"/>
      <charset val="204"/>
      <scheme val="minor"/>
    </font>
    <font>
      <sz val="14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9F7ED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3" fillId="0" borderId="0" xfId="0" applyFont="1"/>
    <xf numFmtId="0" fontId="0" fillId="0" borderId="0" xfId="0" applyFill="1"/>
    <xf numFmtId="0" fontId="7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/>
    <xf numFmtId="0" fontId="0" fillId="0" borderId="0" xfId="0" applyBorder="1"/>
    <xf numFmtId="0" fontId="8" fillId="0" borderId="0" xfId="0" applyFont="1" applyFill="1" applyBorder="1" applyAlignment="1"/>
    <xf numFmtId="0" fontId="0" fillId="0" borderId="0" xfId="0" applyFill="1" applyBorder="1"/>
    <xf numFmtId="0" fontId="1" fillId="0" borderId="0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wrapText="1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 vertical="top"/>
    </xf>
    <xf numFmtId="0" fontId="5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5" fillId="0" borderId="6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2" fontId="1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49" fontId="12" fillId="2" borderId="1" xfId="0" applyNumberFormat="1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 wrapText="1"/>
    </xf>
    <xf numFmtId="2" fontId="13" fillId="0" borderId="1" xfId="0" applyNumberFormat="1" applyFont="1" applyBorder="1" applyAlignment="1">
      <alignment horizontal="center" vertical="top"/>
    </xf>
    <xf numFmtId="49" fontId="14" fillId="2" borderId="1" xfId="0" applyNumberFormat="1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49" fontId="15" fillId="2" borderId="1" xfId="0" applyNumberFormat="1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center" vertical="top"/>
    </xf>
    <xf numFmtId="2" fontId="10" fillId="0" borderId="1" xfId="0" applyNumberFormat="1" applyFont="1" applyFill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0" fontId="15" fillId="2" borderId="1" xfId="0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/>
    </xf>
    <xf numFmtId="0" fontId="14" fillId="2" borderId="4" xfId="0" applyFont="1" applyFill="1" applyBorder="1" applyAlignment="1">
      <alignment horizontal="left" vertical="top"/>
    </xf>
    <xf numFmtId="0" fontId="14" fillId="2" borderId="8" xfId="0" applyFont="1" applyFill="1" applyBorder="1" applyAlignment="1">
      <alignment horizontal="left" vertical="top"/>
    </xf>
    <xf numFmtId="0" fontId="14" fillId="2" borderId="5" xfId="0" applyFont="1" applyFill="1" applyBorder="1" applyAlignment="1">
      <alignment horizontal="left" vertical="top"/>
    </xf>
    <xf numFmtId="2" fontId="10" fillId="3" borderId="1" xfId="0" applyNumberFormat="1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top"/>
    </xf>
    <xf numFmtId="2" fontId="16" fillId="0" borderId="1" xfId="0" applyNumberFormat="1" applyFont="1" applyFill="1" applyBorder="1" applyAlignment="1">
      <alignment horizontal="center" vertical="top" wrapText="1"/>
    </xf>
    <xf numFmtId="2" fontId="17" fillId="0" borderId="1" xfId="0" applyNumberFormat="1" applyFont="1" applyBorder="1" applyAlignment="1">
      <alignment horizontal="center" vertical="top"/>
    </xf>
    <xf numFmtId="2" fontId="17" fillId="0" borderId="1" xfId="0" applyNumberFormat="1" applyFont="1" applyFill="1" applyBorder="1" applyAlignment="1">
      <alignment horizontal="center" vertical="top"/>
    </xf>
    <xf numFmtId="0" fontId="17" fillId="0" borderId="1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8" fillId="0" borderId="1" xfId="0" applyFont="1" applyBorder="1" applyAlignment="1">
      <alignment horizontal="center" vertical="top"/>
    </xf>
    <xf numFmtId="2" fontId="12" fillId="0" borderId="1" xfId="0" applyNumberFormat="1" applyFont="1" applyBorder="1" applyAlignment="1">
      <alignment horizontal="center" vertical="top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3" fillId="0" borderId="1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/>
    </xf>
    <xf numFmtId="49" fontId="15" fillId="2" borderId="1" xfId="0" applyNumberFormat="1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left" vertical="top" wrapText="1"/>
    </xf>
    <xf numFmtId="49" fontId="15" fillId="2" borderId="2" xfId="0" applyNumberFormat="1" applyFont="1" applyFill="1" applyBorder="1" applyAlignment="1">
      <alignment horizontal="center" vertical="top" wrapText="1"/>
    </xf>
    <xf numFmtId="0" fontId="15" fillId="2" borderId="9" xfId="0" applyFont="1" applyFill="1" applyBorder="1" applyAlignment="1">
      <alignment horizontal="left" vertical="top"/>
    </xf>
    <xf numFmtId="0" fontId="15" fillId="2" borderId="7" xfId="0" applyFont="1" applyFill="1" applyBorder="1" applyAlignment="1">
      <alignment horizontal="left" vertical="top"/>
    </xf>
    <xf numFmtId="49" fontId="16" fillId="0" borderId="1" xfId="0" applyNumberFormat="1" applyFont="1" applyFill="1" applyBorder="1" applyAlignment="1">
      <alignment horizontal="center" vertical="top" wrapText="1"/>
    </xf>
    <xf numFmtId="0" fontId="16" fillId="0" borderId="1" xfId="0" applyFont="1" applyFill="1" applyBorder="1" applyAlignment="1">
      <alignment horizontal="left" vertical="top" wrapText="1"/>
    </xf>
    <xf numFmtId="0" fontId="16" fillId="0" borderId="1" xfId="0" applyFont="1" applyFill="1" applyBorder="1" applyAlignment="1">
      <alignment horizontal="center" vertical="top" wrapText="1"/>
    </xf>
    <xf numFmtId="3" fontId="16" fillId="0" borderId="1" xfId="0" applyNumberFormat="1" applyFont="1" applyFill="1" applyBorder="1" applyAlignment="1">
      <alignment horizontal="center" vertical="top"/>
    </xf>
    <xf numFmtId="164" fontId="16" fillId="0" borderId="1" xfId="0" applyNumberFormat="1" applyFont="1" applyFill="1" applyBorder="1" applyAlignment="1">
      <alignment horizontal="center" vertical="top"/>
    </xf>
    <xf numFmtId="165" fontId="16" fillId="0" borderId="1" xfId="0" applyNumberFormat="1" applyFont="1" applyFill="1" applyBorder="1" applyAlignment="1">
      <alignment horizontal="center" vertical="top" wrapText="1"/>
    </xf>
    <xf numFmtId="0" fontId="15" fillId="2" borderId="4" xfId="0" applyFont="1" applyFill="1" applyBorder="1" applyAlignment="1">
      <alignment horizontal="left" vertical="top" wrapText="1"/>
    </xf>
    <xf numFmtId="0" fontId="15" fillId="2" borderId="8" xfId="0" applyFont="1" applyFill="1" applyBorder="1" applyAlignment="1">
      <alignment horizontal="left" vertical="top" wrapText="1"/>
    </xf>
    <xf numFmtId="0" fontId="15" fillId="2" borderId="5" xfId="0" applyFont="1" applyFill="1" applyBorder="1" applyAlignment="1">
      <alignment horizontal="left" vertical="top" wrapText="1"/>
    </xf>
    <xf numFmtId="2" fontId="16" fillId="0" borderId="1" xfId="0" applyNumberFormat="1" applyFont="1" applyFill="1" applyBorder="1" applyAlignment="1">
      <alignment horizontal="center" vertical="top"/>
    </xf>
    <xf numFmtId="164" fontId="16" fillId="0" borderId="4" xfId="0" applyNumberFormat="1" applyFont="1" applyFill="1" applyBorder="1" applyAlignment="1">
      <alignment horizontal="center" vertical="top" wrapText="1"/>
    </xf>
    <xf numFmtId="164" fontId="16" fillId="0" borderId="8" xfId="0" applyNumberFormat="1" applyFont="1" applyFill="1" applyBorder="1" applyAlignment="1">
      <alignment horizontal="center" vertical="top" wrapText="1"/>
    </xf>
    <xf numFmtId="164" fontId="16" fillId="0" borderId="5" xfId="0" applyNumberFormat="1" applyFont="1" applyFill="1" applyBorder="1" applyAlignment="1">
      <alignment horizontal="center" vertical="top" wrapText="1"/>
    </xf>
    <xf numFmtId="0" fontId="15" fillId="2" borderId="4" xfId="0" applyFont="1" applyFill="1" applyBorder="1" applyAlignment="1">
      <alignment horizontal="left" vertical="top"/>
    </xf>
    <xf numFmtId="0" fontId="15" fillId="2" borderId="8" xfId="0" applyFont="1" applyFill="1" applyBorder="1" applyAlignment="1">
      <alignment horizontal="left" vertical="top"/>
    </xf>
    <xf numFmtId="0" fontId="15" fillId="2" borderId="5" xfId="0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center" vertical="top" wrapText="1"/>
    </xf>
    <xf numFmtId="2" fontId="11" fillId="0" borderId="4" xfId="0" applyNumberFormat="1" applyFont="1" applyFill="1" applyBorder="1" applyAlignment="1">
      <alignment horizontal="center" vertical="top"/>
    </xf>
    <xf numFmtId="2" fontId="11" fillId="0" borderId="8" xfId="0" applyNumberFormat="1" applyFont="1" applyFill="1" applyBorder="1" applyAlignment="1">
      <alignment horizontal="center" vertical="top"/>
    </xf>
    <xf numFmtId="2" fontId="11" fillId="0" borderId="5" xfId="0" applyNumberFormat="1" applyFont="1" applyFill="1" applyBorder="1" applyAlignment="1">
      <alignment horizontal="center" vertical="top"/>
    </xf>
    <xf numFmtId="49" fontId="16" fillId="0" borderId="1" xfId="0" applyNumberFormat="1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top" wrapText="1"/>
    </xf>
    <xf numFmtId="2" fontId="19" fillId="0" borderId="1" xfId="0" applyNumberFormat="1" applyFont="1" applyBorder="1" applyAlignment="1">
      <alignment horizontal="center" vertical="top"/>
    </xf>
    <xf numFmtId="2" fontId="19" fillId="0" borderId="4" xfId="0" applyNumberFormat="1" applyFont="1" applyBorder="1" applyAlignment="1">
      <alignment horizontal="center" vertical="top"/>
    </xf>
    <xf numFmtId="2" fontId="19" fillId="0" borderId="8" xfId="0" applyNumberFormat="1" applyFont="1" applyBorder="1" applyAlignment="1">
      <alignment horizontal="center" vertical="top"/>
    </xf>
    <xf numFmtId="2" fontId="19" fillId="0" borderId="5" xfId="0" applyNumberFormat="1" applyFont="1" applyBorder="1" applyAlignment="1">
      <alignment horizontal="center" vertical="top"/>
    </xf>
    <xf numFmtId="0" fontId="15" fillId="2" borderId="9" xfId="0" applyFont="1" applyFill="1" applyBorder="1" applyAlignment="1">
      <alignment horizontal="left" vertical="top" wrapText="1"/>
    </xf>
    <xf numFmtId="0" fontId="15" fillId="2" borderId="7" xfId="0" applyFont="1" applyFill="1" applyBorder="1" applyAlignment="1">
      <alignment horizontal="left" vertical="top" wrapText="1"/>
    </xf>
    <xf numFmtId="2" fontId="16" fillId="0" borderId="4" xfId="0" applyNumberFormat="1" applyFont="1" applyFill="1" applyBorder="1" applyAlignment="1">
      <alignment horizontal="center" vertical="top"/>
    </xf>
    <xf numFmtId="2" fontId="16" fillId="0" borderId="8" xfId="0" applyNumberFormat="1" applyFont="1" applyFill="1" applyBorder="1" applyAlignment="1">
      <alignment horizontal="center" vertical="top"/>
    </xf>
    <xf numFmtId="2" fontId="16" fillId="0" borderId="5" xfId="0" applyNumberFormat="1" applyFont="1" applyFill="1" applyBorder="1" applyAlignment="1">
      <alignment horizontal="center" vertical="top"/>
    </xf>
    <xf numFmtId="49" fontId="19" fillId="0" borderId="1" xfId="0" applyNumberFormat="1" applyFont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13" fillId="0" borderId="8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/>
    </xf>
    <xf numFmtId="49" fontId="13" fillId="0" borderId="1" xfId="0" applyNumberFormat="1" applyFont="1" applyBorder="1" applyAlignment="1">
      <alignment horizontal="center" vertical="top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Fill="1" applyBorder="1" applyAlignment="1">
      <alignment horizontal="center" vertical="top"/>
    </xf>
    <xf numFmtId="0" fontId="13" fillId="0" borderId="0" xfId="0" applyFont="1"/>
    <xf numFmtId="0" fontId="12" fillId="0" borderId="1" xfId="0" applyFont="1" applyBorder="1"/>
    <xf numFmtId="0" fontId="13" fillId="0" borderId="1" xfId="0" applyFont="1" applyBorder="1"/>
    <xf numFmtId="164" fontId="12" fillId="0" borderId="1" xfId="0" applyNumberFormat="1" applyFont="1" applyBorder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/>
    </xf>
    <xf numFmtId="164" fontId="13" fillId="0" borderId="0" xfId="0" applyNumberFormat="1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7D76-65C4-4ACB-A031-14FDC7E3979B}">
  <dimension ref="A1:M340"/>
  <sheetViews>
    <sheetView tabSelected="1" zoomScale="55" zoomScaleNormal="55" workbookViewId="0">
      <selection activeCell="A9" sqref="A9:H9"/>
    </sheetView>
  </sheetViews>
  <sheetFormatPr defaultRowHeight="14.4" x14ac:dyDescent="0.3"/>
  <cols>
    <col min="1" max="1" width="24.33203125" customWidth="1"/>
    <col min="2" max="2" width="100.88671875" customWidth="1"/>
    <col min="3" max="3" width="27.5546875" customWidth="1"/>
    <col min="4" max="4" width="25.6640625" customWidth="1"/>
    <col min="5" max="5" width="21.77734375" customWidth="1"/>
    <col min="6" max="6" width="26.33203125" customWidth="1"/>
    <col min="7" max="7" width="23.109375" customWidth="1"/>
    <col min="8" max="8" width="32.109375" customWidth="1"/>
  </cols>
  <sheetData>
    <row r="1" spans="1:8" ht="95.4" customHeight="1" x14ac:dyDescent="0.3">
      <c r="A1" s="16" t="s">
        <v>0</v>
      </c>
      <c r="B1" s="16"/>
      <c r="C1" s="16"/>
      <c r="D1" s="16"/>
      <c r="E1" s="16"/>
      <c r="F1" s="16"/>
      <c r="G1" s="16"/>
      <c r="H1" s="16"/>
    </row>
    <row r="2" spans="1:8" ht="66" customHeight="1" x14ac:dyDescent="0.3">
      <c r="A2" s="17" t="s">
        <v>12</v>
      </c>
      <c r="B2" s="17"/>
      <c r="C2" s="17"/>
      <c r="D2" s="17"/>
      <c r="E2" s="17"/>
      <c r="F2" s="17"/>
      <c r="G2" s="17"/>
      <c r="H2" s="17"/>
    </row>
    <row r="3" spans="1:8" ht="18" x14ac:dyDescent="0.35">
      <c r="A3" s="19" t="s">
        <v>10</v>
      </c>
      <c r="B3" s="19"/>
      <c r="C3" s="19"/>
      <c r="D3" s="19"/>
      <c r="E3" s="19"/>
      <c r="F3" s="19"/>
      <c r="G3" s="19"/>
      <c r="H3" s="19"/>
    </row>
    <row r="4" spans="1:8" x14ac:dyDescent="0.3">
      <c r="A4" s="20" t="s">
        <v>11</v>
      </c>
      <c r="B4" s="20"/>
      <c r="C4" s="20"/>
      <c r="D4" s="20"/>
      <c r="E4" s="20"/>
      <c r="F4" s="20"/>
      <c r="G4" s="20"/>
      <c r="H4" s="20"/>
    </row>
    <row r="5" spans="1:8" ht="18" x14ac:dyDescent="0.35">
      <c r="A5" s="21" t="s">
        <v>14</v>
      </c>
      <c r="B5" s="21"/>
      <c r="C5" s="21"/>
      <c r="D5" s="21"/>
      <c r="E5" s="21"/>
      <c r="F5" s="21"/>
      <c r="G5" s="21"/>
      <c r="H5" s="21"/>
    </row>
    <row r="6" spans="1:8" x14ac:dyDescent="0.3">
      <c r="A6" s="22" t="s">
        <v>13</v>
      </c>
      <c r="B6" s="22"/>
      <c r="C6" s="22"/>
      <c r="D6" s="22"/>
      <c r="E6" s="22"/>
      <c r="F6" s="22"/>
      <c r="G6" s="22"/>
      <c r="H6" s="22"/>
    </row>
    <row r="7" spans="1:8" ht="14.4" customHeight="1" x14ac:dyDescent="0.35">
      <c r="A7" s="23" t="s">
        <v>16</v>
      </c>
      <c r="B7" s="23"/>
      <c r="C7" s="23"/>
      <c r="D7" s="23"/>
      <c r="E7" s="23"/>
      <c r="F7" s="23"/>
      <c r="G7" s="23"/>
      <c r="H7" s="23"/>
    </row>
    <row r="8" spans="1:8" x14ac:dyDescent="0.3">
      <c r="A8" s="18" t="s">
        <v>15</v>
      </c>
      <c r="B8" s="18"/>
      <c r="C8" s="18"/>
      <c r="D8" s="18"/>
      <c r="E8" s="18"/>
      <c r="F8" s="18"/>
      <c r="G8" s="18"/>
      <c r="H8" s="18"/>
    </row>
    <row r="9" spans="1:8" ht="18" x14ac:dyDescent="0.3">
      <c r="A9" s="15" t="s">
        <v>17</v>
      </c>
      <c r="B9" s="15"/>
      <c r="C9" s="15"/>
      <c r="D9" s="15"/>
      <c r="E9" s="15"/>
      <c r="F9" s="15"/>
      <c r="G9" s="15"/>
      <c r="H9" s="15"/>
    </row>
    <row r="10" spans="1:8" ht="18" x14ac:dyDescent="0.3">
      <c r="A10" s="9" t="s">
        <v>18</v>
      </c>
      <c r="B10" s="9"/>
      <c r="C10" s="9"/>
      <c r="D10" s="9"/>
      <c r="E10" s="9"/>
      <c r="F10" s="9"/>
      <c r="G10" s="9"/>
      <c r="H10" s="9"/>
    </row>
    <row r="11" spans="1:8" x14ac:dyDescent="0.3">
      <c r="A11" s="14" t="s">
        <v>19</v>
      </c>
      <c r="B11" s="14"/>
      <c r="C11" s="14"/>
      <c r="D11" s="14"/>
      <c r="E11" s="14"/>
      <c r="F11" s="14"/>
      <c r="G11" s="14"/>
      <c r="H11" s="14"/>
    </row>
    <row r="12" spans="1:8" ht="18" x14ac:dyDescent="0.3">
      <c r="A12" s="9" t="s">
        <v>21</v>
      </c>
      <c r="B12" s="9"/>
      <c r="C12" s="9"/>
      <c r="D12" s="9"/>
      <c r="E12" s="9"/>
      <c r="F12" s="9"/>
      <c r="G12" s="9"/>
      <c r="H12" s="9"/>
    </row>
    <row r="13" spans="1:8" ht="35.4" customHeight="1" x14ac:dyDescent="0.3">
      <c r="A13" s="10" t="s">
        <v>20</v>
      </c>
      <c r="B13" s="10"/>
      <c r="C13" s="10"/>
      <c r="D13" s="10"/>
      <c r="E13" s="10"/>
      <c r="F13" s="10"/>
      <c r="G13" s="10"/>
      <c r="H13" s="10"/>
    </row>
    <row r="14" spans="1:8" ht="55.8" customHeight="1" x14ac:dyDescent="0.3">
      <c r="A14" s="11" t="s">
        <v>22</v>
      </c>
      <c r="B14" s="12"/>
      <c r="C14" s="12"/>
      <c r="D14" s="12"/>
      <c r="E14" s="12"/>
      <c r="F14" s="12"/>
      <c r="G14" s="12"/>
      <c r="H14" s="12"/>
    </row>
    <row r="15" spans="1:8" ht="18" x14ac:dyDescent="0.35">
      <c r="A15" s="8" t="s">
        <v>704</v>
      </c>
      <c r="B15" s="8"/>
      <c r="C15" s="8"/>
      <c r="D15" s="8"/>
      <c r="E15" s="8"/>
      <c r="F15" s="8"/>
      <c r="G15" s="8"/>
      <c r="H15" s="8"/>
    </row>
    <row r="16" spans="1:8" ht="45" customHeight="1" x14ac:dyDescent="0.35">
      <c r="A16" s="13" t="s">
        <v>23</v>
      </c>
      <c r="B16" s="8"/>
      <c r="C16" s="8"/>
      <c r="D16" s="8"/>
      <c r="E16" s="8"/>
      <c r="F16" s="8"/>
      <c r="G16" s="8"/>
      <c r="H16" s="8"/>
    </row>
    <row r="17" spans="1:12" ht="17.399999999999999" customHeight="1" x14ac:dyDescent="0.3">
      <c r="A17" s="1"/>
      <c r="B17" s="1"/>
      <c r="C17" s="1"/>
      <c r="D17" s="1"/>
      <c r="E17" s="1"/>
      <c r="F17" s="1"/>
      <c r="G17" s="1"/>
      <c r="H17" s="1"/>
    </row>
    <row r="18" spans="1:12" ht="30.6" customHeight="1" x14ac:dyDescent="0.3">
      <c r="A18" s="25" t="s">
        <v>1</v>
      </c>
      <c r="B18" s="25" t="s">
        <v>2</v>
      </c>
      <c r="C18" s="25" t="s">
        <v>3</v>
      </c>
      <c r="D18" s="25" t="s">
        <v>4</v>
      </c>
      <c r="E18" s="26" t="s">
        <v>5</v>
      </c>
      <c r="F18" s="27"/>
      <c r="G18" s="26" t="s">
        <v>8</v>
      </c>
      <c r="H18" s="27"/>
    </row>
    <row r="19" spans="1:12" ht="72" customHeight="1" x14ac:dyDescent="0.35">
      <c r="A19" s="28"/>
      <c r="B19" s="28"/>
      <c r="C19" s="28"/>
      <c r="D19" s="28"/>
      <c r="E19" s="29" t="s">
        <v>6</v>
      </c>
      <c r="F19" s="30" t="s">
        <v>7</v>
      </c>
      <c r="G19" s="29" t="s">
        <v>6</v>
      </c>
      <c r="H19" s="30" t="s">
        <v>9</v>
      </c>
    </row>
    <row r="20" spans="1:12" ht="18" x14ac:dyDescent="0.3">
      <c r="A20" s="31">
        <v>1</v>
      </c>
      <c r="B20" s="31">
        <v>2</v>
      </c>
      <c r="C20" s="31">
        <v>3</v>
      </c>
      <c r="D20" s="31">
        <v>4</v>
      </c>
      <c r="E20" s="31">
        <v>5</v>
      </c>
      <c r="F20" s="31">
        <v>6</v>
      </c>
      <c r="G20" s="31">
        <v>7</v>
      </c>
      <c r="H20" s="31">
        <v>8</v>
      </c>
    </row>
    <row r="21" spans="1:12" ht="25.05" customHeight="1" x14ac:dyDescent="0.3">
      <c r="A21" s="32" t="s">
        <v>24</v>
      </c>
      <c r="B21" s="33" t="s">
        <v>25</v>
      </c>
      <c r="C21" s="33"/>
      <c r="D21" s="33"/>
      <c r="E21" s="33"/>
      <c r="F21" s="33"/>
      <c r="G21" s="33"/>
      <c r="H21" s="33"/>
    </row>
    <row r="22" spans="1:12" ht="25.05" customHeight="1" x14ac:dyDescent="0.3">
      <c r="A22" s="34" t="s">
        <v>28</v>
      </c>
      <c r="B22" s="35" t="s">
        <v>26</v>
      </c>
      <c r="C22" s="36" t="s">
        <v>27</v>
      </c>
      <c r="D22" s="37">
        <v>22774.5</v>
      </c>
      <c r="E22" s="38">
        <v>3</v>
      </c>
      <c r="F22" s="38">
        <f>PRODUCT(D22:E22)</f>
        <v>68323.5</v>
      </c>
      <c r="G22" s="38">
        <v>3</v>
      </c>
      <c r="H22" s="38">
        <v>68323.5</v>
      </c>
    </row>
    <row r="23" spans="1:12" ht="25.05" customHeight="1" x14ac:dyDescent="0.3">
      <c r="A23" s="39" t="s">
        <v>30</v>
      </c>
      <c r="B23" s="40" t="s">
        <v>29</v>
      </c>
      <c r="C23" s="40"/>
      <c r="D23" s="40"/>
      <c r="E23" s="40"/>
      <c r="F23" s="40"/>
      <c r="G23" s="40"/>
      <c r="H23" s="40"/>
    </row>
    <row r="24" spans="1:12" ht="25.05" customHeight="1" x14ac:dyDescent="0.3">
      <c r="A24" s="41" t="s">
        <v>37</v>
      </c>
      <c r="B24" s="35" t="s">
        <v>31</v>
      </c>
      <c r="C24" s="36" t="s">
        <v>35</v>
      </c>
      <c r="D24" s="42">
        <v>100.318962</v>
      </c>
      <c r="E24" s="42">
        <v>135</v>
      </c>
      <c r="F24" s="42">
        <f>PRODUCT(D24:E24)</f>
        <v>13543.059869999999</v>
      </c>
      <c r="G24" s="42">
        <v>135</v>
      </c>
      <c r="H24" s="42">
        <v>13543.06</v>
      </c>
    </row>
    <row r="25" spans="1:12" ht="25.05" customHeight="1" x14ac:dyDescent="0.3">
      <c r="A25" s="41" t="s">
        <v>38</v>
      </c>
      <c r="B25" s="35" t="s">
        <v>32</v>
      </c>
      <c r="C25" s="36" t="s">
        <v>35</v>
      </c>
      <c r="D25" s="42">
        <v>26.097000000000001</v>
      </c>
      <c r="E25" s="42">
        <v>150</v>
      </c>
      <c r="F25" s="42">
        <f>PRODUCT(D25,E25)</f>
        <v>3914.55</v>
      </c>
      <c r="G25" s="42">
        <v>150</v>
      </c>
      <c r="H25" s="42">
        <f>PRODUCT(D25,G25)</f>
        <v>3914.55</v>
      </c>
    </row>
    <row r="26" spans="1:12" ht="25.05" customHeight="1" x14ac:dyDescent="0.3">
      <c r="A26" s="41" t="s">
        <v>39</v>
      </c>
      <c r="B26" s="35" t="s">
        <v>33</v>
      </c>
      <c r="C26" s="36" t="s">
        <v>35</v>
      </c>
      <c r="D26" s="42">
        <v>339.56099999999998</v>
      </c>
      <c r="E26" s="42">
        <v>10</v>
      </c>
      <c r="F26" s="42">
        <f>PRODUCT(D26,E26)</f>
        <v>3395.6099999999997</v>
      </c>
      <c r="G26" s="42">
        <v>10</v>
      </c>
      <c r="H26" s="42">
        <v>3395.61</v>
      </c>
    </row>
    <row r="27" spans="1:12" ht="47.4" customHeight="1" x14ac:dyDescent="0.3">
      <c r="A27" s="41" t="s">
        <v>40</v>
      </c>
      <c r="B27" s="35" t="s">
        <v>34</v>
      </c>
      <c r="C27" s="36" t="s">
        <v>36</v>
      </c>
      <c r="D27" s="42">
        <v>403.0822</v>
      </c>
      <c r="E27" s="42">
        <v>50</v>
      </c>
      <c r="F27" s="42">
        <f>PRODUCT(D27,E27)</f>
        <v>20154.11</v>
      </c>
      <c r="G27" s="42">
        <v>50</v>
      </c>
      <c r="H27" s="42">
        <f>PRODUCT(D27,G27)</f>
        <v>20154.11</v>
      </c>
    </row>
    <row r="28" spans="1:12" s="2" customFormat="1" ht="25.05" customHeight="1" x14ac:dyDescent="0.3">
      <c r="A28" s="43" t="s">
        <v>47</v>
      </c>
      <c r="B28" s="44" t="s">
        <v>48</v>
      </c>
      <c r="C28" s="44"/>
      <c r="D28" s="44"/>
      <c r="E28" s="44"/>
      <c r="F28" s="44"/>
      <c r="G28" s="44"/>
      <c r="H28" s="44"/>
      <c r="I28" s="3"/>
      <c r="J28" s="3"/>
      <c r="K28" s="3"/>
      <c r="L28" s="3"/>
    </row>
    <row r="29" spans="1:12" ht="25.05" customHeight="1" x14ac:dyDescent="0.3">
      <c r="A29" s="45" t="s">
        <v>41</v>
      </c>
      <c r="B29" s="40" t="s">
        <v>42</v>
      </c>
      <c r="C29" s="40"/>
      <c r="D29" s="40"/>
      <c r="E29" s="40"/>
      <c r="F29" s="40"/>
      <c r="G29" s="40"/>
      <c r="H29" s="40"/>
    </row>
    <row r="30" spans="1:12" ht="52.8" customHeight="1" x14ac:dyDescent="0.3">
      <c r="A30" s="41" t="s">
        <v>43</v>
      </c>
      <c r="B30" s="35" t="s">
        <v>779</v>
      </c>
      <c r="C30" s="36" t="s">
        <v>46</v>
      </c>
      <c r="D30" s="46">
        <v>766.50699999999995</v>
      </c>
      <c r="E30" s="47">
        <v>20</v>
      </c>
      <c r="F30" s="48">
        <f>PRODUCT(D30,E30)</f>
        <v>15330.14</v>
      </c>
      <c r="G30" s="46">
        <v>20</v>
      </c>
      <c r="H30" s="42">
        <f>PRODUCT(D30,G30)</f>
        <v>15330.14</v>
      </c>
    </row>
    <row r="31" spans="1:12" ht="51" customHeight="1" x14ac:dyDescent="0.3">
      <c r="A31" s="41" t="s">
        <v>44</v>
      </c>
      <c r="B31" s="35" t="s">
        <v>45</v>
      </c>
      <c r="C31" s="36" t="s">
        <v>46</v>
      </c>
      <c r="D31" s="42">
        <v>1327.0425</v>
      </c>
      <c r="E31" s="47">
        <v>20</v>
      </c>
      <c r="F31" s="48">
        <f>PRODUCT(D31,E31)</f>
        <v>26540.85</v>
      </c>
      <c r="G31" s="42">
        <v>20</v>
      </c>
      <c r="H31" s="42">
        <f>PRODUCT(D31,G31)</f>
        <v>26540.85</v>
      </c>
    </row>
    <row r="32" spans="1:12" ht="25.05" customHeight="1" x14ac:dyDescent="0.3">
      <c r="A32" s="45" t="s">
        <v>49</v>
      </c>
      <c r="B32" s="49" t="s">
        <v>50</v>
      </c>
      <c r="C32" s="49"/>
      <c r="D32" s="49"/>
      <c r="E32" s="49"/>
      <c r="F32" s="49"/>
      <c r="G32" s="49"/>
      <c r="H32" s="49"/>
      <c r="I32" s="4"/>
      <c r="J32" s="4"/>
      <c r="K32" s="4"/>
      <c r="L32" s="4"/>
    </row>
    <row r="33" spans="1:13" ht="25.05" customHeight="1" x14ac:dyDescent="0.3">
      <c r="A33" s="45" t="s">
        <v>51</v>
      </c>
      <c r="B33" s="49" t="s">
        <v>52</v>
      </c>
      <c r="C33" s="49"/>
      <c r="D33" s="49"/>
      <c r="E33" s="49"/>
      <c r="F33" s="49"/>
      <c r="G33" s="49"/>
      <c r="H33" s="49"/>
      <c r="I33" s="4"/>
      <c r="J33" s="4"/>
      <c r="K33" s="4"/>
      <c r="L33" s="4"/>
    </row>
    <row r="34" spans="1:13" ht="54" customHeight="1" x14ac:dyDescent="0.3">
      <c r="A34" s="41" t="s">
        <v>53</v>
      </c>
      <c r="B34" s="35" t="s">
        <v>54</v>
      </c>
      <c r="C34" s="36" t="s">
        <v>55</v>
      </c>
      <c r="D34" s="42">
        <v>235.10499999999999</v>
      </c>
      <c r="E34" s="42">
        <v>30</v>
      </c>
      <c r="F34" s="48">
        <f>PRODUCT(D34:E34)</f>
        <v>7053.15</v>
      </c>
      <c r="G34" s="42">
        <v>30</v>
      </c>
      <c r="H34" s="48">
        <f>PRODUCT(D34,G34)</f>
        <v>7053.15</v>
      </c>
      <c r="I34" s="5"/>
      <c r="J34" s="5"/>
      <c r="K34" s="5"/>
      <c r="L34" s="5"/>
    </row>
    <row r="35" spans="1:13" ht="25.05" customHeight="1" x14ac:dyDescent="0.3">
      <c r="A35" s="45" t="s">
        <v>56</v>
      </c>
      <c r="B35" s="49" t="s">
        <v>57</v>
      </c>
      <c r="C35" s="49"/>
      <c r="D35" s="49"/>
      <c r="E35" s="49"/>
      <c r="F35" s="49"/>
      <c r="G35" s="49"/>
      <c r="H35" s="49"/>
      <c r="I35" s="4"/>
      <c r="J35" s="4"/>
      <c r="K35" s="4"/>
      <c r="L35" s="4"/>
    </row>
    <row r="36" spans="1:13" ht="48.6" customHeight="1" x14ac:dyDescent="0.3">
      <c r="A36" s="41" t="s">
        <v>58</v>
      </c>
      <c r="B36" s="35" t="s">
        <v>59</v>
      </c>
      <c r="C36" s="36" t="s">
        <v>60</v>
      </c>
      <c r="D36" s="42">
        <v>347.45947999999999</v>
      </c>
      <c r="E36" s="42">
        <v>250</v>
      </c>
      <c r="F36" s="48">
        <f>PRODUCT(D36:E36)</f>
        <v>86864.87</v>
      </c>
      <c r="G36" s="42">
        <v>250</v>
      </c>
      <c r="H36" s="42">
        <v>86864.87</v>
      </c>
      <c r="I36" s="5"/>
      <c r="J36" s="5"/>
      <c r="K36" s="5"/>
      <c r="L36" s="5"/>
    </row>
    <row r="37" spans="1:13" ht="25.05" customHeight="1" x14ac:dyDescent="0.3">
      <c r="A37" s="43" t="s">
        <v>61</v>
      </c>
      <c r="B37" s="50" t="s">
        <v>62</v>
      </c>
      <c r="C37" s="50"/>
      <c r="D37" s="50"/>
      <c r="E37" s="50"/>
      <c r="F37" s="50"/>
      <c r="G37" s="50"/>
      <c r="H37" s="50"/>
      <c r="I37" s="24"/>
      <c r="J37" s="24"/>
      <c r="K37" s="24"/>
      <c r="L37" s="24"/>
      <c r="M37" s="5"/>
    </row>
    <row r="38" spans="1:13" ht="51.6" customHeight="1" x14ac:dyDescent="0.3">
      <c r="A38" s="41" t="s">
        <v>63</v>
      </c>
      <c r="B38" s="35" t="s">
        <v>64</v>
      </c>
      <c r="C38" s="36" t="s">
        <v>60</v>
      </c>
      <c r="D38" s="42">
        <v>381.2197142</v>
      </c>
      <c r="E38" s="42">
        <v>140</v>
      </c>
      <c r="F38" s="42">
        <f>PRODUCT(D38:E38)</f>
        <v>53370.759987999998</v>
      </c>
      <c r="G38" s="42">
        <v>140</v>
      </c>
      <c r="H38" s="42">
        <f>PRODUCT(D38,G38)</f>
        <v>53370.759987999998</v>
      </c>
      <c r="I38" s="5"/>
      <c r="J38" s="5"/>
      <c r="K38" s="5"/>
      <c r="L38" s="5"/>
    </row>
    <row r="39" spans="1:13" ht="25.05" customHeight="1" x14ac:dyDescent="0.3">
      <c r="A39" s="43" t="s">
        <v>65</v>
      </c>
      <c r="B39" s="44" t="s">
        <v>66</v>
      </c>
      <c r="C39" s="44"/>
      <c r="D39" s="44"/>
      <c r="E39" s="44"/>
      <c r="F39" s="44"/>
      <c r="G39" s="44"/>
      <c r="H39" s="44"/>
      <c r="I39" s="3"/>
      <c r="J39" s="3"/>
      <c r="K39" s="3"/>
      <c r="L39" s="3"/>
    </row>
    <row r="40" spans="1:13" ht="25.05" customHeight="1" x14ac:dyDescent="0.3">
      <c r="A40" s="43" t="s">
        <v>67</v>
      </c>
      <c r="B40" s="51" t="s">
        <v>68</v>
      </c>
      <c r="C40" s="52"/>
      <c r="D40" s="52"/>
      <c r="E40" s="52"/>
      <c r="F40" s="52"/>
      <c r="G40" s="52"/>
      <c r="H40" s="53"/>
      <c r="I40" s="6"/>
      <c r="J40" s="6"/>
      <c r="K40" s="6"/>
      <c r="L40" s="6"/>
    </row>
    <row r="41" spans="1:13" ht="25.05" customHeight="1" x14ac:dyDescent="0.3">
      <c r="A41" s="41" t="s">
        <v>69</v>
      </c>
      <c r="B41" s="35" t="s">
        <v>70</v>
      </c>
      <c r="C41" s="36" t="s">
        <v>71</v>
      </c>
      <c r="D41" s="54">
        <v>871.67266659999996</v>
      </c>
      <c r="E41" s="42">
        <v>15</v>
      </c>
      <c r="F41" s="42">
        <f>PRODUCT(D41:E41)</f>
        <v>13075.089999</v>
      </c>
      <c r="G41" s="42">
        <v>15</v>
      </c>
      <c r="H41" s="42">
        <v>13075.09</v>
      </c>
    </row>
    <row r="42" spans="1:13" ht="25.05" customHeight="1" x14ac:dyDescent="0.3">
      <c r="A42" s="43" t="s">
        <v>72</v>
      </c>
      <c r="B42" s="50" t="s">
        <v>73</v>
      </c>
      <c r="C42" s="50"/>
      <c r="D42" s="50"/>
      <c r="E42" s="50"/>
      <c r="F42" s="50"/>
      <c r="G42" s="50"/>
      <c r="H42" s="50"/>
      <c r="I42" s="6"/>
      <c r="J42" s="6"/>
      <c r="K42" s="6"/>
      <c r="L42" s="6"/>
    </row>
    <row r="43" spans="1:13" ht="45.6" customHeight="1" x14ac:dyDescent="0.3">
      <c r="A43" s="41" t="s">
        <v>74</v>
      </c>
      <c r="B43" s="35" t="s">
        <v>75</v>
      </c>
      <c r="C43" s="36" t="s">
        <v>76</v>
      </c>
      <c r="D43" s="42">
        <v>171.8823529</v>
      </c>
      <c r="E43" s="42">
        <v>34</v>
      </c>
      <c r="F43" s="42">
        <f>PRODUCT(D43:E43)</f>
        <v>5843.9999986000003</v>
      </c>
      <c r="G43" s="42">
        <v>34</v>
      </c>
      <c r="H43" s="42">
        <v>5844</v>
      </c>
    </row>
    <row r="44" spans="1:13" ht="25.05" customHeight="1" x14ac:dyDescent="0.3">
      <c r="A44" s="43" t="s">
        <v>77</v>
      </c>
      <c r="B44" s="50" t="s">
        <v>78</v>
      </c>
      <c r="C44" s="50"/>
      <c r="D44" s="50"/>
      <c r="E44" s="50"/>
      <c r="F44" s="50"/>
      <c r="G44" s="50"/>
      <c r="H44" s="50"/>
      <c r="I44" s="6"/>
      <c r="J44" s="6"/>
      <c r="K44" s="6"/>
      <c r="L44" s="6"/>
    </row>
    <row r="45" spans="1:13" ht="25.05" customHeight="1" x14ac:dyDescent="0.3">
      <c r="A45" s="41" t="s">
        <v>79</v>
      </c>
      <c r="B45" s="35" t="s">
        <v>80</v>
      </c>
      <c r="C45" s="36" t="s">
        <v>71</v>
      </c>
      <c r="D45" s="42">
        <v>1027.6673330000001</v>
      </c>
      <c r="E45" s="42">
        <v>30</v>
      </c>
      <c r="F45" s="42">
        <f>PRODUCT(D45:E45)</f>
        <v>30830.019990000004</v>
      </c>
      <c r="G45" s="42">
        <v>30</v>
      </c>
      <c r="H45" s="42">
        <v>30830.02</v>
      </c>
    </row>
    <row r="46" spans="1:13" ht="25.05" customHeight="1" x14ac:dyDescent="0.3">
      <c r="A46" s="41" t="s">
        <v>81</v>
      </c>
      <c r="B46" s="35" t="s">
        <v>82</v>
      </c>
      <c r="C46" s="36" t="s">
        <v>83</v>
      </c>
      <c r="D46" s="42">
        <v>1103.45</v>
      </c>
      <c r="E46" s="42">
        <v>40</v>
      </c>
      <c r="F46" s="42">
        <f>PRODUCT(D46:E46)</f>
        <v>44138</v>
      </c>
      <c r="G46" s="42">
        <v>40</v>
      </c>
      <c r="H46" s="42">
        <v>44138</v>
      </c>
    </row>
    <row r="47" spans="1:13" ht="25.05" customHeight="1" x14ac:dyDescent="0.3">
      <c r="A47" s="43" t="s">
        <v>84</v>
      </c>
      <c r="B47" s="44" t="s">
        <v>85</v>
      </c>
      <c r="C47" s="44"/>
      <c r="D47" s="44"/>
      <c r="E47" s="44"/>
      <c r="F47" s="44"/>
      <c r="G47" s="44"/>
      <c r="H47" s="44"/>
      <c r="I47" s="3"/>
      <c r="J47" s="3"/>
      <c r="K47" s="3"/>
      <c r="L47" s="3"/>
    </row>
    <row r="48" spans="1:13" ht="25.05" customHeight="1" x14ac:dyDescent="0.3">
      <c r="A48" s="43" t="s">
        <v>86</v>
      </c>
      <c r="B48" s="50" t="s">
        <v>87</v>
      </c>
      <c r="C48" s="50"/>
      <c r="D48" s="50"/>
      <c r="E48" s="50"/>
      <c r="F48" s="50"/>
      <c r="G48" s="50"/>
      <c r="H48" s="50"/>
      <c r="I48" s="6"/>
      <c r="J48" s="6"/>
      <c r="K48" s="6"/>
      <c r="L48" s="6"/>
    </row>
    <row r="49" spans="1:12" ht="25.05" customHeight="1" x14ac:dyDescent="0.3">
      <c r="A49" s="41" t="s">
        <v>88</v>
      </c>
      <c r="B49" s="35" t="s">
        <v>89</v>
      </c>
      <c r="C49" s="36" t="s">
        <v>90</v>
      </c>
      <c r="D49" s="42">
        <v>777.096</v>
      </c>
      <c r="E49" s="42">
        <v>50</v>
      </c>
      <c r="F49" s="42">
        <f>PRODUCT(D49:E49)</f>
        <v>38854.800000000003</v>
      </c>
      <c r="G49" s="42">
        <v>50</v>
      </c>
      <c r="H49" s="42">
        <v>38854.800000000003</v>
      </c>
      <c r="I49" s="7"/>
      <c r="J49" s="7"/>
      <c r="K49" s="7"/>
      <c r="L49" s="7"/>
    </row>
    <row r="50" spans="1:12" ht="25.05" customHeight="1" x14ac:dyDescent="0.3">
      <c r="A50" s="43" t="s">
        <v>91</v>
      </c>
      <c r="B50" s="50" t="s">
        <v>92</v>
      </c>
      <c r="C50" s="50"/>
      <c r="D50" s="50"/>
      <c r="E50" s="50"/>
      <c r="F50" s="50"/>
      <c r="G50" s="50"/>
      <c r="H50" s="50"/>
      <c r="I50" s="6"/>
      <c r="J50" s="6"/>
      <c r="K50" s="6"/>
      <c r="L50" s="6"/>
    </row>
    <row r="51" spans="1:12" ht="25.05" customHeight="1" x14ac:dyDescent="0.3">
      <c r="A51" s="41" t="s">
        <v>93</v>
      </c>
      <c r="B51" s="35" t="s">
        <v>94</v>
      </c>
      <c r="C51" s="36" t="s">
        <v>90</v>
      </c>
      <c r="D51" s="42">
        <v>224.8415</v>
      </c>
      <c r="E51" s="42">
        <v>40</v>
      </c>
      <c r="F51" s="42">
        <f>PRODUCT(D51:E51)</f>
        <v>8993.66</v>
      </c>
      <c r="G51" s="42">
        <v>40</v>
      </c>
      <c r="H51" s="42">
        <v>8993.66</v>
      </c>
    </row>
    <row r="52" spans="1:12" ht="25.05" customHeight="1" x14ac:dyDescent="0.3">
      <c r="A52" s="43" t="s">
        <v>95</v>
      </c>
      <c r="B52" s="50" t="s">
        <v>96</v>
      </c>
      <c r="C52" s="50"/>
      <c r="D52" s="50"/>
      <c r="E52" s="50"/>
      <c r="F52" s="50"/>
      <c r="G52" s="50"/>
      <c r="H52" s="50"/>
      <c r="I52" s="6"/>
      <c r="J52" s="6"/>
      <c r="K52" s="6"/>
      <c r="L52" s="6"/>
    </row>
    <row r="53" spans="1:12" ht="25.05" customHeight="1" x14ac:dyDescent="0.3">
      <c r="A53" s="41" t="s">
        <v>97</v>
      </c>
      <c r="B53" s="35" t="s">
        <v>98</v>
      </c>
      <c r="C53" s="36" t="s">
        <v>99</v>
      </c>
      <c r="D53" s="42">
        <v>1556.7741000000001</v>
      </c>
      <c r="E53" s="42">
        <v>12</v>
      </c>
      <c r="F53" s="42">
        <f>PRODUCT(D53:E53)</f>
        <v>18681.289199999999</v>
      </c>
      <c r="G53" s="42">
        <v>12</v>
      </c>
      <c r="H53" s="42">
        <v>18681.29</v>
      </c>
      <c r="I53" s="7"/>
      <c r="J53" s="7"/>
      <c r="K53" s="7"/>
      <c r="L53" s="7"/>
    </row>
    <row r="54" spans="1:12" ht="25.05" customHeight="1" x14ac:dyDescent="0.3">
      <c r="A54" s="43" t="s">
        <v>100</v>
      </c>
      <c r="B54" s="50" t="s">
        <v>101</v>
      </c>
      <c r="C54" s="50"/>
      <c r="D54" s="50"/>
      <c r="E54" s="50"/>
      <c r="F54" s="50"/>
      <c r="G54" s="50"/>
      <c r="H54" s="50"/>
      <c r="I54" s="6"/>
      <c r="J54" s="6"/>
      <c r="K54" s="6"/>
      <c r="L54" s="6"/>
    </row>
    <row r="55" spans="1:12" ht="43.2" customHeight="1" x14ac:dyDescent="0.3">
      <c r="A55" s="41" t="s">
        <v>102</v>
      </c>
      <c r="B55" s="35" t="s">
        <v>103</v>
      </c>
      <c r="C55" s="36" t="s">
        <v>104</v>
      </c>
      <c r="D55" s="42">
        <v>2059.4949999999999</v>
      </c>
      <c r="E55" s="42">
        <v>4</v>
      </c>
      <c r="F55" s="42">
        <f>PRODUCT(D55:E55)</f>
        <v>8237.98</v>
      </c>
      <c r="G55" s="42">
        <v>4</v>
      </c>
      <c r="H55" s="42">
        <v>8237.98</v>
      </c>
      <c r="I55" s="7"/>
      <c r="J55" s="7"/>
      <c r="K55" s="7"/>
      <c r="L55" s="7"/>
    </row>
    <row r="56" spans="1:12" ht="25.05" customHeight="1" x14ac:dyDescent="0.3">
      <c r="A56" s="43" t="s">
        <v>105</v>
      </c>
      <c r="B56" s="44" t="s">
        <v>106</v>
      </c>
      <c r="C56" s="44"/>
      <c r="D56" s="44"/>
      <c r="E56" s="44"/>
      <c r="F56" s="44"/>
      <c r="G56" s="44"/>
      <c r="H56" s="44"/>
      <c r="I56" s="3"/>
      <c r="J56" s="3"/>
      <c r="K56" s="3"/>
      <c r="L56" s="3"/>
    </row>
    <row r="57" spans="1:12" ht="25.05" customHeight="1" x14ac:dyDescent="0.3">
      <c r="A57" s="43" t="s">
        <v>107</v>
      </c>
      <c r="B57" s="50" t="s">
        <v>108</v>
      </c>
      <c r="C57" s="50"/>
      <c r="D57" s="50"/>
      <c r="E57" s="50"/>
      <c r="F57" s="50"/>
      <c r="G57" s="50"/>
      <c r="H57" s="50"/>
      <c r="I57" s="6"/>
      <c r="J57" s="6"/>
      <c r="K57" s="6"/>
      <c r="L57" s="6"/>
    </row>
    <row r="58" spans="1:12" ht="25.05" customHeight="1" x14ac:dyDescent="0.3">
      <c r="A58" s="41" t="s">
        <v>109</v>
      </c>
      <c r="B58" s="35" t="s">
        <v>110</v>
      </c>
      <c r="C58" s="36" t="s">
        <v>111</v>
      </c>
      <c r="D58" s="42">
        <v>672.92700000000002</v>
      </c>
      <c r="E58" s="42">
        <v>10</v>
      </c>
      <c r="F58" s="42">
        <f>PRODUCT(D58:E58)</f>
        <v>6729.27</v>
      </c>
      <c r="G58" s="42">
        <v>10</v>
      </c>
      <c r="H58" s="42">
        <v>6729.27</v>
      </c>
    </row>
    <row r="59" spans="1:12" ht="25.05" customHeight="1" x14ac:dyDescent="0.3">
      <c r="A59" s="41" t="s">
        <v>112</v>
      </c>
      <c r="B59" s="35" t="s">
        <v>113</v>
      </c>
      <c r="C59" s="36" t="s">
        <v>114</v>
      </c>
      <c r="D59" s="42">
        <v>48.168999999999997</v>
      </c>
      <c r="E59" s="42">
        <v>20</v>
      </c>
      <c r="F59" s="42">
        <f>PRODUCT(D59,E59)</f>
        <v>963.37999999999988</v>
      </c>
      <c r="G59" s="42">
        <v>20</v>
      </c>
      <c r="H59" s="42">
        <v>963.38</v>
      </c>
    </row>
    <row r="60" spans="1:12" ht="25.05" customHeight="1" x14ac:dyDescent="0.3">
      <c r="A60" s="41" t="s">
        <v>115</v>
      </c>
      <c r="B60" s="35" t="s">
        <v>116</v>
      </c>
      <c r="C60" s="36" t="s">
        <v>117</v>
      </c>
      <c r="D60" s="42">
        <v>48.09</v>
      </c>
      <c r="E60" s="42">
        <v>20</v>
      </c>
      <c r="F60" s="42">
        <f t="shared" ref="F60:F67" si="0">PRODUCT(D60:E60)</f>
        <v>961.80000000000007</v>
      </c>
      <c r="G60" s="42">
        <v>20</v>
      </c>
      <c r="H60" s="42">
        <v>961.99</v>
      </c>
    </row>
    <row r="61" spans="1:12" ht="25.05" customHeight="1" x14ac:dyDescent="0.3">
      <c r="A61" s="41" t="s">
        <v>118</v>
      </c>
      <c r="B61" s="35" t="s">
        <v>119</v>
      </c>
      <c r="C61" s="36" t="s">
        <v>120</v>
      </c>
      <c r="D61" s="42">
        <v>500.44529999999997</v>
      </c>
      <c r="E61" s="42">
        <v>13</v>
      </c>
      <c r="F61" s="42">
        <f t="shared" si="0"/>
        <v>6505.7888999999996</v>
      </c>
      <c r="G61" s="42">
        <v>13</v>
      </c>
      <c r="H61" s="42">
        <v>6505.79</v>
      </c>
    </row>
    <row r="62" spans="1:12" ht="25.05" customHeight="1" x14ac:dyDescent="0.3">
      <c r="A62" s="41" t="s">
        <v>121</v>
      </c>
      <c r="B62" s="35" t="s">
        <v>122</v>
      </c>
      <c r="C62" s="36" t="s">
        <v>123</v>
      </c>
      <c r="D62" s="42">
        <v>323.04599999999999</v>
      </c>
      <c r="E62" s="42">
        <v>10</v>
      </c>
      <c r="F62" s="42">
        <f t="shared" si="0"/>
        <v>3230.46</v>
      </c>
      <c r="G62" s="42">
        <v>10</v>
      </c>
      <c r="H62" s="42">
        <v>3230.46</v>
      </c>
    </row>
    <row r="63" spans="1:12" ht="25.05" customHeight="1" x14ac:dyDescent="0.3">
      <c r="A63" s="41" t="s">
        <v>124</v>
      </c>
      <c r="B63" s="35" t="s">
        <v>125</v>
      </c>
      <c r="C63" s="36" t="s">
        <v>126</v>
      </c>
      <c r="D63" s="42">
        <v>625.42250000000001</v>
      </c>
      <c r="E63" s="42">
        <v>4</v>
      </c>
      <c r="F63" s="42">
        <f t="shared" si="0"/>
        <v>2501.69</v>
      </c>
      <c r="G63" s="42">
        <v>4</v>
      </c>
      <c r="H63" s="42">
        <v>2501.69</v>
      </c>
    </row>
    <row r="64" spans="1:12" ht="25.05" customHeight="1" x14ac:dyDescent="0.3">
      <c r="A64" s="41" t="s">
        <v>127</v>
      </c>
      <c r="B64" s="35" t="s">
        <v>128</v>
      </c>
      <c r="C64" s="36" t="s">
        <v>129</v>
      </c>
      <c r="D64" s="42">
        <v>1674.8679999999999</v>
      </c>
      <c r="E64" s="42">
        <v>5</v>
      </c>
      <c r="F64" s="42">
        <f t="shared" si="0"/>
        <v>8374.34</v>
      </c>
      <c r="G64" s="42">
        <v>5</v>
      </c>
      <c r="H64" s="42">
        <v>8374.34</v>
      </c>
    </row>
    <row r="65" spans="1:12" ht="25.05" customHeight="1" x14ac:dyDescent="0.3">
      <c r="A65" s="41" t="s">
        <v>130</v>
      </c>
      <c r="B65" s="35" t="s">
        <v>131</v>
      </c>
      <c r="C65" s="36" t="s">
        <v>129</v>
      </c>
      <c r="D65" s="42">
        <v>1467.1420000000001</v>
      </c>
      <c r="E65" s="42">
        <v>5</v>
      </c>
      <c r="F65" s="42">
        <f t="shared" si="0"/>
        <v>7335.71</v>
      </c>
      <c r="G65" s="42">
        <v>5</v>
      </c>
      <c r="H65" s="42">
        <v>7335.71</v>
      </c>
    </row>
    <row r="66" spans="1:12" ht="25.05" customHeight="1" x14ac:dyDescent="0.3">
      <c r="A66" s="41" t="s">
        <v>132</v>
      </c>
      <c r="B66" s="35" t="s">
        <v>133</v>
      </c>
      <c r="C66" s="36" t="s">
        <v>134</v>
      </c>
      <c r="D66" s="42">
        <v>4446.0164999999997</v>
      </c>
      <c r="E66" s="42">
        <v>20</v>
      </c>
      <c r="F66" s="42">
        <f t="shared" si="0"/>
        <v>88920.329999999987</v>
      </c>
      <c r="G66" s="42">
        <v>20</v>
      </c>
      <c r="H66" s="42">
        <v>88920.33</v>
      </c>
    </row>
    <row r="67" spans="1:12" ht="25.05" customHeight="1" x14ac:dyDescent="0.3">
      <c r="A67" s="41" t="s">
        <v>135</v>
      </c>
      <c r="B67" s="35" t="s">
        <v>136</v>
      </c>
      <c r="C67" s="36" t="s">
        <v>137</v>
      </c>
      <c r="D67" s="42">
        <v>4544.6419999999998</v>
      </c>
      <c r="E67" s="42">
        <v>10</v>
      </c>
      <c r="F67" s="42">
        <f t="shared" si="0"/>
        <v>45446.42</v>
      </c>
      <c r="G67" s="42">
        <v>10</v>
      </c>
      <c r="H67" s="42">
        <v>45446.42</v>
      </c>
    </row>
    <row r="68" spans="1:12" ht="25.05" customHeight="1" x14ac:dyDescent="0.3">
      <c r="A68" s="43" t="s">
        <v>138</v>
      </c>
      <c r="B68" s="50" t="s">
        <v>139</v>
      </c>
      <c r="C68" s="50"/>
      <c r="D68" s="50"/>
      <c r="E68" s="50"/>
      <c r="F68" s="50"/>
      <c r="G68" s="50"/>
      <c r="H68" s="50"/>
      <c r="I68" s="6"/>
      <c r="J68" s="6"/>
      <c r="K68" s="6"/>
      <c r="L68" s="6"/>
    </row>
    <row r="69" spans="1:12" ht="25.05" customHeight="1" x14ac:dyDescent="0.3">
      <c r="A69" s="41" t="s">
        <v>140</v>
      </c>
      <c r="B69" s="35" t="s">
        <v>141</v>
      </c>
      <c r="C69" s="36" t="s">
        <v>142</v>
      </c>
      <c r="D69" s="46">
        <v>316.80329999999998</v>
      </c>
      <c r="E69" s="46">
        <v>3</v>
      </c>
      <c r="F69" s="46">
        <f>PRODUCT(D69:E69)</f>
        <v>950.40989999999988</v>
      </c>
      <c r="G69" s="46">
        <v>3</v>
      </c>
      <c r="H69" s="46">
        <v>950.41</v>
      </c>
      <c r="I69" s="7"/>
      <c r="J69" s="7"/>
      <c r="K69" s="7"/>
      <c r="L69" s="7"/>
    </row>
    <row r="70" spans="1:12" ht="25.05" customHeight="1" x14ac:dyDescent="0.3">
      <c r="A70" s="43" t="s">
        <v>143</v>
      </c>
      <c r="B70" s="44" t="s">
        <v>144</v>
      </c>
      <c r="C70" s="44"/>
      <c r="D70" s="44"/>
      <c r="E70" s="44"/>
      <c r="F70" s="44"/>
      <c r="G70" s="44"/>
      <c r="H70" s="44"/>
      <c r="I70" s="3"/>
      <c r="J70" s="3"/>
      <c r="K70" s="3"/>
      <c r="L70" s="3"/>
    </row>
    <row r="71" spans="1:12" ht="25.05" customHeight="1" x14ac:dyDescent="0.3">
      <c r="A71" s="43" t="s">
        <v>145</v>
      </c>
      <c r="B71" s="50" t="s">
        <v>146</v>
      </c>
      <c r="C71" s="50"/>
      <c r="D71" s="50"/>
      <c r="E71" s="50"/>
      <c r="F71" s="50"/>
      <c r="G71" s="50"/>
      <c r="H71" s="50"/>
      <c r="I71" s="6"/>
      <c r="J71" s="6"/>
      <c r="K71" s="6"/>
      <c r="L71" s="6"/>
    </row>
    <row r="72" spans="1:12" ht="25.05" customHeight="1" x14ac:dyDescent="0.3">
      <c r="A72" s="41" t="s">
        <v>147</v>
      </c>
      <c r="B72" s="35" t="s">
        <v>148</v>
      </c>
      <c r="C72" s="36" t="s">
        <v>149</v>
      </c>
      <c r="D72" s="42">
        <v>647.98800000000006</v>
      </c>
      <c r="E72" s="42">
        <v>10</v>
      </c>
      <c r="F72" s="42">
        <f>PRODUCT(D72:E72)</f>
        <v>6479.880000000001</v>
      </c>
      <c r="G72" s="42">
        <v>10</v>
      </c>
      <c r="H72" s="42">
        <v>6479.88</v>
      </c>
      <c r="I72" s="7"/>
      <c r="J72" s="7"/>
      <c r="K72" s="7"/>
      <c r="L72" s="7"/>
    </row>
    <row r="73" spans="1:12" ht="48.6" customHeight="1" x14ac:dyDescent="0.3">
      <c r="A73" s="41" t="s">
        <v>150</v>
      </c>
      <c r="B73" s="35" t="s">
        <v>151</v>
      </c>
      <c r="C73" s="36" t="s">
        <v>152</v>
      </c>
      <c r="D73" s="42">
        <v>214.15199999999999</v>
      </c>
      <c r="E73" s="42">
        <v>5</v>
      </c>
      <c r="F73" s="42">
        <f>PRODUCT(D73:E73)</f>
        <v>1070.76</v>
      </c>
      <c r="G73" s="42">
        <v>5</v>
      </c>
      <c r="H73" s="42">
        <v>1070.76</v>
      </c>
      <c r="I73" s="7"/>
      <c r="J73" s="7"/>
      <c r="K73" s="7"/>
      <c r="L73" s="7"/>
    </row>
    <row r="74" spans="1:12" ht="25.05" customHeight="1" x14ac:dyDescent="0.3">
      <c r="A74" s="43" t="s">
        <v>153</v>
      </c>
      <c r="B74" s="50" t="s">
        <v>154</v>
      </c>
      <c r="C74" s="50"/>
      <c r="D74" s="50"/>
      <c r="E74" s="50"/>
      <c r="F74" s="50"/>
      <c r="G74" s="50"/>
      <c r="H74" s="50"/>
      <c r="I74" s="6"/>
      <c r="J74" s="6"/>
      <c r="K74" s="6"/>
      <c r="L74" s="6"/>
    </row>
    <row r="75" spans="1:12" ht="55.2" customHeight="1" x14ac:dyDescent="0.3">
      <c r="A75" s="41" t="s">
        <v>155</v>
      </c>
      <c r="B75" s="35" t="s">
        <v>156</v>
      </c>
      <c r="C75" s="36" t="s">
        <v>157</v>
      </c>
      <c r="D75" s="42">
        <v>666.41729999999995</v>
      </c>
      <c r="E75" s="42">
        <v>30</v>
      </c>
      <c r="F75" s="42">
        <f>PRODUCT(D75:E75)</f>
        <v>19992.519</v>
      </c>
      <c r="G75" s="42">
        <v>30</v>
      </c>
      <c r="H75" s="42">
        <v>19992.52</v>
      </c>
      <c r="I75" s="7"/>
      <c r="J75" s="7"/>
      <c r="K75" s="7"/>
      <c r="L75" s="7"/>
    </row>
    <row r="76" spans="1:12" ht="25.05" customHeight="1" x14ac:dyDescent="0.3">
      <c r="A76" s="43" t="s">
        <v>158</v>
      </c>
      <c r="B76" s="50" t="s">
        <v>159</v>
      </c>
      <c r="C76" s="50"/>
      <c r="D76" s="50"/>
      <c r="E76" s="50"/>
      <c r="F76" s="50"/>
      <c r="G76" s="50"/>
      <c r="H76" s="50"/>
      <c r="I76" s="6"/>
      <c r="J76" s="6"/>
      <c r="K76" s="6"/>
      <c r="L76" s="6"/>
    </row>
    <row r="77" spans="1:12" ht="25.05" customHeight="1" x14ac:dyDescent="0.3">
      <c r="A77" s="41" t="s">
        <v>160</v>
      </c>
      <c r="B77" s="35" t="s">
        <v>161</v>
      </c>
      <c r="C77" s="36" t="s">
        <v>162</v>
      </c>
      <c r="D77" s="42">
        <v>374.05099999999999</v>
      </c>
      <c r="E77" s="46">
        <v>20</v>
      </c>
      <c r="F77" s="42">
        <f>PRODUCT(D77:E77)</f>
        <v>7481.0199999999995</v>
      </c>
      <c r="G77" s="42">
        <v>20</v>
      </c>
      <c r="H77" s="42">
        <v>7481.02</v>
      </c>
      <c r="I77" s="7"/>
      <c r="J77" s="7"/>
      <c r="K77" s="7"/>
      <c r="L77" s="7"/>
    </row>
    <row r="78" spans="1:12" ht="25.05" customHeight="1" x14ac:dyDescent="0.3">
      <c r="A78" s="41" t="s">
        <v>163</v>
      </c>
      <c r="B78" s="35" t="s">
        <v>164</v>
      </c>
      <c r="C78" s="36" t="s">
        <v>162</v>
      </c>
      <c r="D78" s="42">
        <v>757.79899999999998</v>
      </c>
      <c r="E78" s="46">
        <v>20</v>
      </c>
      <c r="F78" s="42">
        <f>PRODUCT(D78:E78)</f>
        <v>15155.98</v>
      </c>
      <c r="G78" s="42"/>
      <c r="H78" s="42">
        <v>15155.98</v>
      </c>
      <c r="I78" s="7"/>
      <c r="J78" s="7"/>
      <c r="K78" s="7"/>
      <c r="L78" s="7"/>
    </row>
    <row r="79" spans="1:12" ht="25.05" customHeight="1" x14ac:dyDescent="0.3">
      <c r="A79" s="43" t="s">
        <v>165</v>
      </c>
      <c r="B79" s="44" t="s">
        <v>166</v>
      </c>
      <c r="C79" s="44"/>
      <c r="D79" s="44"/>
      <c r="E79" s="44"/>
      <c r="F79" s="44"/>
      <c r="G79" s="44"/>
      <c r="H79" s="44"/>
      <c r="I79" s="3"/>
      <c r="J79" s="3"/>
      <c r="K79" s="3"/>
      <c r="L79" s="3"/>
    </row>
    <row r="80" spans="1:12" ht="25.05" customHeight="1" x14ac:dyDescent="0.3">
      <c r="A80" s="43" t="s">
        <v>167</v>
      </c>
      <c r="B80" s="50" t="s">
        <v>168</v>
      </c>
      <c r="C80" s="50"/>
      <c r="D80" s="50"/>
      <c r="E80" s="50"/>
      <c r="F80" s="50"/>
      <c r="G80" s="50"/>
      <c r="H80" s="50"/>
      <c r="I80" s="6"/>
      <c r="J80" s="6"/>
      <c r="K80" s="6"/>
      <c r="L80" s="6"/>
    </row>
    <row r="81" spans="1:12" ht="48.6" customHeight="1" x14ac:dyDescent="0.3">
      <c r="A81" s="41" t="s">
        <v>169</v>
      </c>
      <c r="B81" s="35" t="s">
        <v>170</v>
      </c>
      <c r="C81" s="36" t="s">
        <v>171</v>
      </c>
      <c r="D81" s="42">
        <v>891.52499999999998</v>
      </c>
      <c r="E81" s="42">
        <v>10</v>
      </c>
      <c r="F81" s="42">
        <f>PRODUCT(D81:E81)</f>
        <v>8915.25</v>
      </c>
      <c r="G81" s="42">
        <v>10</v>
      </c>
      <c r="H81" s="42">
        <v>8915.25</v>
      </c>
      <c r="I81" s="7"/>
      <c r="J81" s="7"/>
      <c r="K81" s="7"/>
      <c r="L81" s="7"/>
    </row>
    <row r="82" spans="1:12" ht="51" customHeight="1" x14ac:dyDescent="0.3">
      <c r="A82" s="41" t="s">
        <v>172</v>
      </c>
      <c r="B82" s="35" t="s">
        <v>173</v>
      </c>
      <c r="C82" s="36" t="s">
        <v>171</v>
      </c>
      <c r="D82" s="42">
        <v>1151.0609999999999</v>
      </c>
      <c r="E82" s="42">
        <v>15</v>
      </c>
      <c r="F82" s="42">
        <f>PRODUCT(D82:E82)</f>
        <v>17265.914999999997</v>
      </c>
      <c r="G82" s="42">
        <v>15</v>
      </c>
      <c r="H82" s="42">
        <v>17265.919999999998</v>
      </c>
      <c r="I82" s="7"/>
      <c r="J82" s="7"/>
      <c r="K82" s="7"/>
      <c r="L82" s="7"/>
    </row>
    <row r="83" spans="1:12" ht="46.2" customHeight="1" x14ac:dyDescent="0.3">
      <c r="A83" s="41" t="s">
        <v>174</v>
      </c>
      <c r="B83" s="35" t="s">
        <v>175</v>
      </c>
      <c r="C83" s="36" t="s">
        <v>171</v>
      </c>
      <c r="D83" s="42">
        <v>1496.32</v>
      </c>
      <c r="E83" s="42">
        <v>10</v>
      </c>
      <c r="F83" s="42">
        <f>PRODUCT(D83:E83)</f>
        <v>14963.199999999999</v>
      </c>
      <c r="G83" s="42">
        <v>10</v>
      </c>
      <c r="H83" s="42">
        <v>14963.2</v>
      </c>
      <c r="I83" s="7"/>
      <c r="J83" s="7"/>
      <c r="K83" s="7"/>
      <c r="L83" s="7"/>
    </row>
    <row r="84" spans="1:12" ht="25.05" customHeight="1" x14ac:dyDescent="0.3">
      <c r="A84" s="43" t="s">
        <v>176</v>
      </c>
      <c r="B84" s="50" t="s">
        <v>177</v>
      </c>
      <c r="C84" s="50"/>
      <c r="D84" s="50"/>
      <c r="E84" s="50"/>
      <c r="F84" s="50"/>
      <c r="G84" s="50"/>
      <c r="H84" s="50"/>
      <c r="I84" s="6"/>
      <c r="J84" s="6"/>
      <c r="K84" s="6"/>
      <c r="L84" s="6"/>
    </row>
    <row r="85" spans="1:12" ht="25.05" customHeight="1" x14ac:dyDescent="0.3">
      <c r="A85" s="43" t="s">
        <v>178</v>
      </c>
      <c r="B85" s="50" t="s">
        <v>179</v>
      </c>
      <c r="C85" s="50"/>
      <c r="D85" s="50"/>
      <c r="E85" s="50"/>
      <c r="F85" s="50"/>
      <c r="G85" s="50"/>
      <c r="H85" s="50"/>
      <c r="I85" s="6"/>
      <c r="J85" s="6"/>
      <c r="K85" s="6"/>
      <c r="L85" s="6"/>
    </row>
    <row r="86" spans="1:12" ht="25.05" customHeight="1" x14ac:dyDescent="0.3">
      <c r="A86" s="41" t="s">
        <v>180</v>
      </c>
      <c r="B86" s="35" t="s">
        <v>181</v>
      </c>
      <c r="C86" s="36" t="s">
        <v>182</v>
      </c>
      <c r="D86" s="42">
        <v>494.22224999999997</v>
      </c>
      <c r="E86" s="46">
        <v>40</v>
      </c>
      <c r="F86" s="42">
        <f>PRODUCT(D86:E86)</f>
        <v>19768.89</v>
      </c>
      <c r="G86" s="42">
        <v>40</v>
      </c>
      <c r="H86" s="42">
        <v>19768.89</v>
      </c>
      <c r="I86" s="7"/>
      <c r="J86" s="7"/>
      <c r="K86" s="7"/>
      <c r="L86" s="7"/>
    </row>
    <row r="87" spans="1:12" ht="25.05" customHeight="1" x14ac:dyDescent="0.3">
      <c r="A87" s="43" t="s">
        <v>183</v>
      </c>
      <c r="B87" s="50" t="s">
        <v>184</v>
      </c>
      <c r="C87" s="50"/>
      <c r="D87" s="50"/>
      <c r="E87" s="50"/>
      <c r="F87" s="50"/>
      <c r="G87" s="50"/>
      <c r="H87" s="50"/>
      <c r="I87" s="6"/>
      <c r="J87" s="6"/>
      <c r="K87" s="6"/>
      <c r="L87" s="6"/>
    </row>
    <row r="88" spans="1:12" ht="25.05" customHeight="1" x14ac:dyDescent="0.3">
      <c r="A88" s="43" t="s">
        <v>185</v>
      </c>
      <c r="B88" s="50" t="s">
        <v>186</v>
      </c>
      <c r="C88" s="50"/>
      <c r="D88" s="50"/>
      <c r="E88" s="50"/>
      <c r="F88" s="50"/>
      <c r="G88" s="50"/>
      <c r="H88" s="50"/>
      <c r="I88" s="6"/>
      <c r="J88" s="6"/>
      <c r="K88" s="6"/>
      <c r="L88" s="6"/>
    </row>
    <row r="89" spans="1:12" ht="25.05" customHeight="1" x14ac:dyDescent="0.3">
      <c r="A89" s="41" t="s">
        <v>187</v>
      </c>
      <c r="B89" s="35" t="s">
        <v>188</v>
      </c>
      <c r="C89" s="36" t="s">
        <v>189</v>
      </c>
      <c r="D89" s="42">
        <v>625.654</v>
      </c>
      <c r="E89" s="42">
        <v>5</v>
      </c>
      <c r="F89" s="42">
        <f>PRODUCT(D89:E89)</f>
        <v>3128.27</v>
      </c>
      <c r="G89" s="42">
        <v>5</v>
      </c>
      <c r="H89" s="42">
        <v>3128.27</v>
      </c>
      <c r="I89" s="7"/>
      <c r="J89" s="7"/>
      <c r="K89" s="7"/>
      <c r="L89" s="7"/>
    </row>
    <row r="90" spans="1:12" ht="25.05" customHeight="1" x14ac:dyDescent="0.3">
      <c r="A90" s="43" t="s">
        <v>190</v>
      </c>
      <c r="B90" s="50" t="s">
        <v>191</v>
      </c>
      <c r="C90" s="50"/>
      <c r="D90" s="50"/>
      <c r="E90" s="50"/>
      <c r="F90" s="50"/>
      <c r="G90" s="50"/>
      <c r="H90" s="50"/>
      <c r="I90" s="6"/>
      <c r="J90" s="6"/>
      <c r="K90" s="6"/>
      <c r="L90" s="6"/>
    </row>
    <row r="91" spans="1:12" ht="25.05" customHeight="1" x14ac:dyDescent="0.3">
      <c r="A91" s="41" t="s">
        <v>192</v>
      </c>
      <c r="B91" s="35" t="s">
        <v>193</v>
      </c>
      <c r="C91" s="36" t="s">
        <v>194</v>
      </c>
      <c r="D91" s="42">
        <v>1490.3025</v>
      </c>
      <c r="E91" s="42">
        <v>4</v>
      </c>
      <c r="F91" s="42">
        <f>PRODUCT(D91:E91)</f>
        <v>5961.21</v>
      </c>
      <c r="G91" s="42">
        <v>4</v>
      </c>
      <c r="H91" s="42">
        <v>5961.21</v>
      </c>
      <c r="I91" s="7"/>
      <c r="J91" s="7"/>
      <c r="K91" s="7"/>
      <c r="L91" s="7"/>
    </row>
    <row r="92" spans="1:12" ht="25.05" customHeight="1" x14ac:dyDescent="0.3">
      <c r="A92" s="43" t="s">
        <v>195</v>
      </c>
      <c r="B92" s="44" t="s">
        <v>196</v>
      </c>
      <c r="C92" s="44"/>
      <c r="D92" s="44"/>
      <c r="E92" s="44"/>
      <c r="F92" s="44"/>
      <c r="G92" s="44"/>
      <c r="H92" s="44"/>
      <c r="I92" s="3"/>
      <c r="J92" s="3"/>
      <c r="K92" s="3"/>
      <c r="L92" s="3"/>
    </row>
    <row r="93" spans="1:12" ht="25.05" customHeight="1" x14ac:dyDescent="0.3">
      <c r="A93" s="43" t="s">
        <v>197</v>
      </c>
      <c r="B93" s="44" t="s">
        <v>772</v>
      </c>
      <c r="C93" s="50"/>
      <c r="D93" s="50"/>
      <c r="E93" s="50"/>
      <c r="F93" s="50"/>
      <c r="G93" s="50"/>
      <c r="H93" s="50"/>
      <c r="I93" s="6"/>
      <c r="J93" s="6"/>
      <c r="K93" s="6"/>
      <c r="L93" s="6"/>
    </row>
    <row r="94" spans="1:12" ht="48.6" customHeight="1" x14ac:dyDescent="0.3">
      <c r="A94" s="41" t="s">
        <v>198</v>
      </c>
      <c r="B94" s="35" t="s">
        <v>199</v>
      </c>
      <c r="C94" s="36" t="s">
        <v>200</v>
      </c>
      <c r="D94" s="42">
        <v>1158.0886</v>
      </c>
      <c r="E94" s="42">
        <v>15</v>
      </c>
      <c r="F94" s="42">
        <f>PRODUCT(D94:E94)</f>
        <v>17371.329000000002</v>
      </c>
      <c r="G94" s="42">
        <v>15</v>
      </c>
      <c r="H94" s="42">
        <v>17371.330000000002</v>
      </c>
      <c r="I94" s="7"/>
      <c r="J94" s="7"/>
      <c r="K94" s="7"/>
      <c r="L94" s="7"/>
    </row>
    <row r="95" spans="1:12" ht="51.6" customHeight="1" x14ac:dyDescent="0.3">
      <c r="A95" s="41" t="s">
        <v>201</v>
      </c>
      <c r="B95" s="35" t="s">
        <v>202</v>
      </c>
      <c r="C95" s="36" t="s">
        <v>200</v>
      </c>
      <c r="D95" s="42">
        <v>1498.3833</v>
      </c>
      <c r="E95" s="42">
        <v>15</v>
      </c>
      <c r="F95" s="42">
        <f>PRODUCT(D95:E95)</f>
        <v>22475.749499999998</v>
      </c>
      <c r="G95" s="42">
        <v>15</v>
      </c>
      <c r="H95" s="42">
        <v>22475.75</v>
      </c>
      <c r="I95" s="7"/>
      <c r="J95" s="7"/>
      <c r="K95" s="7"/>
      <c r="L95" s="7"/>
    </row>
    <row r="96" spans="1:12" ht="25.05" customHeight="1" x14ac:dyDescent="0.3">
      <c r="A96" s="43" t="s">
        <v>203</v>
      </c>
      <c r="B96" s="50" t="s">
        <v>204</v>
      </c>
      <c r="C96" s="50"/>
      <c r="D96" s="50"/>
      <c r="E96" s="50"/>
      <c r="F96" s="50"/>
      <c r="G96" s="50"/>
      <c r="H96" s="50"/>
      <c r="I96" s="6"/>
      <c r="J96" s="6"/>
      <c r="K96" s="6"/>
      <c r="L96" s="6"/>
    </row>
    <row r="97" spans="1:12" ht="51" customHeight="1" x14ac:dyDescent="0.3">
      <c r="A97" s="41" t="s">
        <v>205</v>
      </c>
      <c r="B97" s="35" t="s">
        <v>206</v>
      </c>
      <c r="C97" s="36" t="s">
        <v>207</v>
      </c>
      <c r="D97" s="42">
        <v>15195.49</v>
      </c>
      <c r="E97" s="42">
        <v>4</v>
      </c>
      <c r="F97" s="42">
        <f>PRODUCT(D97:E97)</f>
        <v>60781.96</v>
      </c>
      <c r="G97" s="42">
        <v>4</v>
      </c>
      <c r="H97" s="42">
        <v>60781.96</v>
      </c>
      <c r="I97" s="7"/>
      <c r="J97" s="7"/>
      <c r="K97" s="7"/>
      <c r="L97" s="7"/>
    </row>
    <row r="98" spans="1:12" ht="25.05" customHeight="1" x14ac:dyDescent="0.3">
      <c r="A98" s="43" t="s">
        <v>208</v>
      </c>
      <c r="B98" s="50" t="s">
        <v>209</v>
      </c>
      <c r="C98" s="50"/>
      <c r="D98" s="50"/>
      <c r="E98" s="50"/>
      <c r="F98" s="50"/>
      <c r="G98" s="50"/>
      <c r="H98" s="50"/>
      <c r="I98" s="6"/>
      <c r="J98" s="6"/>
      <c r="K98" s="6"/>
      <c r="L98" s="6"/>
    </row>
    <row r="99" spans="1:12" ht="51" customHeight="1" x14ac:dyDescent="0.3">
      <c r="A99" s="41" t="s">
        <v>210</v>
      </c>
      <c r="B99" s="35" t="s">
        <v>211</v>
      </c>
      <c r="C99" s="36" t="s">
        <v>212</v>
      </c>
      <c r="D99" s="42">
        <v>7787.69</v>
      </c>
      <c r="E99" s="42">
        <v>5</v>
      </c>
      <c r="F99" s="42">
        <f>PRODUCT(D99:E99)</f>
        <v>38938.449999999997</v>
      </c>
      <c r="G99" s="42">
        <v>5</v>
      </c>
      <c r="H99" s="42">
        <v>38938.449999999997</v>
      </c>
      <c r="I99" s="7"/>
      <c r="J99" s="7"/>
      <c r="K99" s="7"/>
      <c r="L99" s="7"/>
    </row>
    <row r="100" spans="1:12" ht="25.05" customHeight="1" x14ac:dyDescent="0.3">
      <c r="A100" s="43" t="s">
        <v>213</v>
      </c>
      <c r="B100" s="55" t="s">
        <v>214</v>
      </c>
      <c r="C100" s="55"/>
      <c r="D100" s="55"/>
      <c r="E100" s="55"/>
      <c r="F100" s="55"/>
      <c r="G100" s="55"/>
      <c r="H100" s="55"/>
      <c r="I100" s="6"/>
      <c r="J100" s="6"/>
      <c r="K100" s="6"/>
      <c r="L100" s="6"/>
    </row>
    <row r="101" spans="1:12" ht="25.05" customHeight="1" x14ac:dyDescent="0.3">
      <c r="A101" s="41" t="s">
        <v>215</v>
      </c>
      <c r="B101" s="35" t="s">
        <v>216</v>
      </c>
      <c r="C101" s="36" t="s">
        <v>35</v>
      </c>
      <c r="D101" s="42">
        <v>890.22799999999995</v>
      </c>
      <c r="E101" s="42">
        <v>5</v>
      </c>
      <c r="F101" s="42">
        <f>PRODUCT(D101:E101)</f>
        <v>4451.1399999999994</v>
      </c>
      <c r="G101" s="42">
        <v>5</v>
      </c>
      <c r="H101" s="42">
        <v>4451.1400000000003</v>
      </c>
      <c r="I101" s="7"/>
      <c r="J101" s="7"/>
      <c r="K101" s="7"/>
      <c r="L101" s="7"/>
    </row>
    <row r="102" spans="1:12" ht="25.05" customHeight="1" x14ac:dyDescent="0.3">
      <c r="A102" s="41" t="s">
        <v>217</v>
      </c>
      <c r="B102" s="35" t="s">
        <v>218</v>
      </c>
      <c r="C102" s="36" t="s">
        <v>35</v>
      </c>
      <c r="D102" s="42">
        <v>1357.162</v>
      </c>
      <c r="E102" s="42">
        <v>5</v>
      </c>
      <c r="F102" s="42">
        <f>PRODUCT(D102:E102)</f>
        <v>6785.81</v>
      </c>
      <c r="G102" s="42">
        <v>5</v>
      </c>
      <c r="H102" s="42">
        <v>6785.81</v>
      </c>
      <c r="I102" s="7"/>
      <c r="J102" s="7"/>
      <c r="K102" s="7"/>
      <c r="L102" s="7"/>
    </row>
    <row r="103" spans="1:12" ht="25.05" customHeight="1" x14ac:dyDescent="0.3">
      <c r="A103" s="43" t="s">
        <v>219</v>
      </c>
      <c r="B103" s="44" t="s">
        <v>220</v>
      </c>
      <c r="C103" s="44"/>
      <c r="D103" s="44"/>
      <c r="E103" s="44"/>
      <c r="F103" s="44"/>
      <c r="G103" s="44"/>
      <c r="H103" s="44"/>
      <c r="I103" s="3"/>
      <c r="J103" s="3"/>
      <c r="K103" s="3"/>
      <c r="L103" s="3"/>
    </row>
    <row r="104" spans="1:12" ht="25.05" customHeight="1" x14ac:dyDescent="0.3">
      <c r="A104" s="43" t="s">
        <v>221</v>
      </c>
      <c r="B104" s="50" t="s">
        <v>222</v>
      </c>
      <c r="C104" s="50"/>
      <c r="D104" s="50"/>
      <c r="E104" s="50"/>
      <c r="F104" s="50"/>
      <c r="G104" s="50"/>
      <c r="H104" s="50"/>
      <c r="I104" s="6"/>
      <c r="J104" s="6"/>
      <c r="K104" s="6"/>
      <c r="L104" s="6"/>
    </row>
    <row r="105" spans="1:12" ht="52.8" customHeight="1" x14ac:dyDescent="0.3">
      <c r="A105" s="41" t="s">
        <v>223</v>
      </c>
      <c r="B105" s="35" t="s">
        <v>224</v>
      </c>
      <c r="C105" s="36" t="s">
        <v>200</v>
      </c>
      <c r="D105" s="42">
        <v>1009.462</v>
      </c>
      <c r="E105" s="42">
        <v>30</v>
      </c>
      <c r="F105" s="42">
        <f>PRODUCT(D105:E105)</f>
        <v>30283.86</v>
      </c>
      <c r="G105" s="42">
        <v>30</v>
      </c>
      <c r="H105" s="42">
        <v>30283.86</v>
      </c>
      <c r="I105" s="7"/>
      <c r="J105" s="7"/>
      <c r="K105" s="7"/>
      <c r="L105" s="7"/>
    </row>
    <row r="106" spans="1:12" ht="25.05" customHeight="1" x14ac:dyDescent="0.3">
      <c r="A106" s="43" t="s">
        <v>225</v>
      </c>
      <c r="B106" s="44" t="s">
        <v>226</v>
      </c>
      <c r="C106" s="44"/>
      <c r="D106" s="44"/>
      <c r="E106" s="44"/>
      <c r="F106" s="44"/>
      <c r="G106" s="44"/>
      <c r="H106" s="44"/>
      <c r="I106" s="3"/>
      <c r="J106" s="3"/>
      <c r="K106" s="3"/>
      <c r="L106" s="3"/>
    </row>
    <row r="107" spans="1:12" ht="25.05" customHeight="1" x14ac:dyDescent="0.3">
      <c r="A107" s="43" t="s">
        <v>227</v>
      </c>
      <c r="B107" s="50" t="s">
        <v>228</v>
      </c>
      <c r="C107" s="50"/>
      <c r="D107" s="50"/>
      <c r="E107" s="50"/>
      <c r="F107" s="50"/>
      <c r="G107" s="50"/>
      <c r="H107" s="50"/>
      <c r="I107" s="6"/>
      <c r="J107" s="6"/>
      <c r="K107" s="6"/>
      <c r="L107" s="6"/>
    </row>
    <row r="108" spans="1:12" ht="47.4" customHeight="1" x14ac:dyDescent="0.3">
      <c r="A108" s="41" t="s">
        <v>229</v>
      </c>
      <c r="B108" s="35" t="s">
        <v>230</v>
      </c>
      <c r="C108" s="36" t="s">
        <v>231</v>
      </c>
      <c r="D108" s="42">
        <v>3379.34</v>
      </c>
      <c r="E108" s="42">
        <v>3</v>
      </c>
      <c r="F108" s="42">
        <f>PRODUCT(D108:E108)</f>
        <v>10138.02</v>
      </c>
      <c r="G108" s="42">
        <v>3</v>
      </c>
      <c r="H108" s="42">
        <v>10138.02</v>
      </c>
      <c r="I108" s="7"/>
      <c r="J108" s="7"/>
      <c r="K108" s="7"/>
      <c r="L108" s="7"/>
    </row>
    <row r="109" spans="1:12" ht="25.05" customHeight="1" x14ac:dyDescent="0.3">
      <c r="A109" s="41" t="s">
        <v>232</v>
      </c>
      <c r="B109" s="35" t="s">
        <v>233</v>
      </c>
      <c r="C109" s="36" t="s">
        <v>234</v>
      </c>
      <c r="D109" s="42">
        <v>3967.65</v>
      </c>
      <c r="E109" s="42">
        <v>1</v>
      </c>
      <c r="F109" s="42">
        <f>PRODUCT(D109,E109)</f>
        <v>3967.65</v>
      </c>
      <c r="G109" s="42">
        <v>1</v>
      </c>
      <c r="H109" s="42">
        <v>3967.65</v>
      </c>
      <c r="I109" s="7"/>
      <c r="J109" s="7"/>
      <c r="K109" s="7"/>
      <c r="L109" s="7"/>
    </row>
    <row r="110" spans="1:12" ht="25.05" customHeight="1" x14ac:dyDescent="0.3">
      <c r="A110" s="41" t="s">
        <v>235</v>
      </c>
      <c r="B110" s="35" t="s">
        <v>236</v>
      </c>
      <c r="C110" s="36" t="s">
        <v>237</v>
      </c>
      <c r="D110" s="42">
        <v>534.495</v>
      </c>
      <c r="E110" s="42">
        <v>2</v>
      </c>
      <c r="F110" s="42">
        <f>PRODUCT(D110:E110)</f>
        <v>1068.99</v>
      </c>
      <c r="G110" s="42">
        <v>2</v>
      </c>
      <c r="H110" s="42">
        <v>1068.99</v>
      </c>
      <c r="I110" s="7"/>
      <c r="J110" s="7"/>
      <c r="K110" s="7"/>
      <c r="L110" s="7"/>
    </row>
    <row r="111" spans="1:12" ht="25.05" customHeight="1" x14ac:dyDescent="0.3">
      <c r="A111" s="41" t="s">
        <v>238</v>
      </c>
      <c r="B111" s="35" t="s">
        <v>239</v>
      </c>
      <c r="C111" s="36" t="s">
        <v>240</v>
      </c>
      <c r="D111" s="42">
        <v>0</v>
      </c>
      <c r="E111" s="42">
        <v>0</v>
      </c>
      <c r="F111" s="42">
        <v>0</v>
      </c>
      <c r="G111" s="42">
        <v>0</v>
      </c>
      <c r="H111" s="42">
        <v>0</v>
      </c>
      <c r="I111" s="7"/>
      <c r="J111" s="7"/>
      <c r="K111" s="7"/>
      <c r="L111" s="7"/>
    </row>
    <row r="112" spans="1:12" ht="25.05" customHeight="1" x14ac:dyDescent="0.3">
      <c r="A112" s="41" t="s">
        <v>241</v>
      </c>
      <c r="B112" s="35" t="s">
        <v>242</v>
      </c>
      <c r="C112" s="36" t="s">
        <v>243</v>
      </c>
      <c r="D112" s="42">
        <v>5247.4350000000004</v>
      </c>
      <c r="E112" s="42">
        <v>2</v>
      </c>
      <c r="F112" s="42">
        <f>PRODUCT(D112:E112)</f>
        <v>10494.87</v>
      </c>
      <c r="G112" s="42">
        <v>2</v>
      </c>
      <c r="H112" s="42">
        <v>10494.87</v>
      </c>
      <c r="I112" s="7"/>
      <c r="J112" s="7"/>
      <c r="K112" s="7"/>
      <c r="L112" s="7"/>
    </row>
    <row r="113" spans="1:13" ht="25.05" customHeight="1" x14ac:dyDescent="0.3">
      <c r="A113" s="41" t="s">
        <v>244</v>
      </c>
      <c r="B113" s="35" t="s">
        <v>245</v>
      </c>
      <c r="C113" s="36" t="s">
        <v>243</v>
      </c>
      <c r="D113" s="42">
        <v>789.375</v>
      </c>
      <c r="E113" s="42">
        <v>2</v>
      </c>
      <c r="F113" s="42">
        <f>PRODUCT(D113:E113)</f>
        <v>1578.75</v>
      </c>
      <c r="G113" s="42">
        <v>2</v>
      </c>
      <c r="H113" s="42">
        <v>1578.75</v>
      </c>
      <c r="I113" s="7"/>
      <c r="J113" s="7"/>
      <c r="K113" s="7"/>
      <c r="L113" s="7"/>
    </row>
    <row r="114" spans="1:13" ht="25.05" customHeight="1" x14ac:dyDescent="0.3">
      <c r="A114" s="41" t="s">
        <v>246</v>
      </c>
      <c r="B114" s="35" t="s">
        <v>247</v>
      </c>
      <c r="C114" s="36" t="s">
        <v>248</v>
      </c>
      <c r="D114" s="42">
        <v>0</v>
      </c>
      <c r="E114" s="42">
        <v>0</v>
      </c>
      <c r="F114" s="42">
        <v>0</v>
      </c>
      <c r="G114" s="42">
        <v>0</v>
      </c>
      <c r="H114" s="42">
        <v>0</v>
      </c>
      <c r="I114" s="7"/>
      <c r="J114" s="7"/>
      <c r="K114" s="7"/>
      <c r="L114" s="7"/>
    </row>
    <row r="115" spans="1:13" ht="25.05" customHeight="1" x14ac:dyDescent="0.3">
      <c r="A115" s="43" t="s">
        <v>249</v>
      </c>
      <c r="B115" s="50" t="s">
        <v>250</v>
      </c>
      <c r="C115" s="50"/>
      <c r="D115" s="50"/>
      <c r="E115" s="50"/>
      <c r="F115" s="50"/>
      <c r="G115" s="50"/>
      <c r="H115" s="50"/>
      <c r="I115" s="6"/>
      <c r="J115" s="6"/>
      <c r="K115" s="6"/>
      <c r="L115" s="6"/>
      <c r="M115" s="6"/>
    </row>
    <row r="116" spans="1:13" ht="25.05" customHeight="1" x14ac:dyDescent="0.3">
      <c r="A116" s="43" t="s">
        <v>251</v>
      </c>
      <c r="B116" s="50" t="s">
        <v>252</v>
      </c>
      <c r="C116" s="50"/>
      <c r="D116" s="50"/>
      <c r="E116" s="50"/>
      <c r="F116" s="50"/>
      <c r="G116" s="50"/>
      <c r="H116" s="50"/>
      <c r="I116" s="6"/>
      <c r="J116" s="6"/>
      <c r="K116" s="6"/>
      <c r="L116" s="6"/>
      <c r="M116" s="6"/>
    </row>
    <row r="117" spans="1:13" ht="25.05" customHeight="1" x14ac:dyDescent="0.3">
      <c r="A117" s="41" t="s">
        <v>253</v>
      </c>
      <c r="B117" s="35" t="s">
        <v>254</v>
      </c>
      <c r="C117" s="36" t="s">
        <v>255</v>
      </c>
      <c r="D117" s="56">
        <v>3769.8887300000001</v>
      </c>
      <c r="E117" s="56">
        <v>63</v>
      </c>
      <c r="F117" s="56">
        <f>PRODUCT(D117:E117)</f>
        <v>237502.98999</v>
      </c>
      <c r="G117" s="56">
        <v>63</v>
      </c>
      <c r="H117" s="56">
        <v>237502.99</v>
      </c>
      <c r="I117" s="6"/>
      <c r="J117" s="6"/>
      <c r="K117" s="6"/>
      <c r="L117" s="6"/>
      <c r="M117" s="6"/>
    </row>
    <row r="118" spans="1:13" ht="25.05" customHeight="1" x14ac:dyDescent="0.3">
      <c r="A118" s="41" t="s">
        <v>256</v>
      </c>
      <c r="B118" s="35" t="s">
        <v>257</v>
      </c>
      <c r="C118" s="36" t="s">
        <v>255</v>
      </c>
      <c r="D118" s="56">
        <v>4144.3602199999996</v>
      </c>
      <c r="E118" s="56">
        <v>45</v>
      </c>
      <c r="F118" s="56">
        <f>PRODUCT(D118:E118)</f>
        <v>186496.20989999999</v>
      </c>
      <c r="G118" s="56">
        <v>45</v>
      </c>
      <c r="H118" s="56">
        <v>186496.21</v>
      </c>
      <c r="I118" s="7"/>
      <c r="J118" s="7"/>
      <c r="K118" s="7"/>
      <c r="L118" s="7"/>
      <c r="M118" s="7"/>
    </row>
    <row r="119" spans="1:13" ht="25.05" customHeight="1" x14ac:dyDescent="0.3">
      <c r="A119" s="41" t="s">
        <v>258</v>
      </c>
      <c r="B119" s="35" t="s">
        <v>259</v>
      </c>
      <c r="C119" s="36" t="s">
        <v>255</v>
      </c>
      <c r="D119" s="42">
        <v>79386.52</v>
      </c>
      <c r="E119" s="42">
        <v>4</v>
      </c>
      <c r="F119" s="42">
        <f>PRODUCT(D119:E119)</f>
        <v>317546.08</v>
      </c>
      <c r="G119" s="42">
        <v>4</v>
      </c>
      <c r="H119" s="42">
        <v>317546.08</v>
      </c>
      <c r="I119" s="7"/>
      <c r="J119" s="7"/>
      <c r="K119" s="7"/>
      <c r="L119" s="7"/>
      <c r="M119" s="7"/>
    </row>
    <row r="120" spans="1:13" ht="25.05" customHeight="1" x14ac:dyDescent="0.3">
      <c r="A120" s="43" t="s">
        <v>696</v>
      </c>
      <c r="B120" s="50" t="s">
        <v>697</v>
      </c>
      <c r="C120" s="50"/>
      <c r="D120" s="50"/>
      <c r="E120" s="50"/>
      <c r="F120" s="50"/>
      <c r="G120" s="50"/>
      <c r="H120" s="50"/>
      <c r="I120" s="6"/>
      <c r="J120" s="6"/>
      <c r="K120" s="6"/>
      <c r="L120" s="6"/>
      <c r="M120" s="7"/>
    </row>
    <row r="121" spans="1:13" ht="25.05" customHeight="1" x14ac:dyDescent="0.3">
      <c r="A121" s="41" t="s">
        <v>698</v>
      </c>
      <c r="B121" s="35" t="s">
        <v>699</v>
      </c>
      <c r="C121" s="36" t="s">
        <v>255</v>
      </c>
      <c r="D121" s="57">
        <v>3510.7437</v>
      </c>
      <c r="E121" s="58">
        <v>8</v>
      </c>
      <c r="F121" s="57">
        <f>PRODUCT(D121:E121)</f>
        <v>28085.9496</v>
      </c>
      <c r="G121" s="57">
        <v>8</v>
      </c>
      <c r="H121" s="58">
        <v>28085.95</v>
      </c>
      <c r="I121" s="7"/>
      <c r="J121" s="7"/>
      <c r="K121" s="7"/>
      <c r="L121" s="7"/>
    </row>
    <row r="122" spans="1:13" ht="25.05" customHeight="1" x14ac:dyDescent="0.3">
      <c r="A122" s="41" t="s">
        <v>700</v>
      </c>
      <c r="B122" s="35" t="s">
        <v>701</v>
      </c>
      <c r="C122" s="36" t="s">
        <v>255</v>
      </c>
      <c r="D122" s="57">
        <v>1431.56</v>
      </c>
      <c r="E122" s="57">
        <v>4</v>
      </c>
      <c r="F122" s="57">
        <f>PRODUCT(D122:E122)</f>
        <v>5726.24</v>
      </c>
      <c r="G122" s="57">
        <v>4</v>
      </c>
      <c r="H122" s="57">
        <v>5726.24</v>
      </c>
      <c r="I122" s="7"/>
      <c r="J122" s="7"/>
      <c r="K122" s="7"/>
      <c r="L122" s="7"/>
    </row>
    <row r="123" spans="1:13" ht="25.05" customHeight="1" x14ac:dyDescent="0.3">
      <c r="A123" s="41" t="s">
        <v>702</v>
      </c>
      <c r="B123" s="35" t="s">
        <v>703</v>
      </c>
      <c r="C123" s="36" t="s">
        <v>255</v>
      </c>
      <c r="D123" s="57">
        <v>26654.86</v>
      </c>
      <c r="E123" s="57">
        <v>1</v>
      </c>
      <c r="F123" s="57">
        <v>26654.86</v>
      </c>
      <c r="G123" s="57">
        <v>1</v>
      </c>
      <c r="H123" s="57">
        <v>26654.86</v>
      </c>
      <c r="I123" s="7"/>
      <c r="J123" s="7"/>
      <c r="K123" s="7"/>
      <c r="L123" s="7"/>
    </row>
    <row r="124" spans="1:13" ht="25.05" customHeight="1" x14ac:dyDescent="0.3">
      <c r="A124" s="41" t="s">
        <v>260</v>
      </c>
      <c r="B124" s="35" t="s">
        <v>261</v>
      </c>
      <c r="C124" s="36" t="s">
        <v>255</v>
      </c>
      <c r="D124" s="57">
        <v>14407.84</v>
      </c>
      <c r="E124" s="57">
        <v>1</v>
      </c>
      <c r="F124" s="59">
        <v>14407.84</v>
      </c>
      <c r="G124" s="57">
        <v>1</v>
      </c>
      <c r="H124" s="57">
        <v>14407.84</v>
      </c>
      <c r="I124" s="7"/>
      <c r="J124" s="7"/>
      <c r="K124" s="7"/>
      <c r="L124" s="7"/>
    </row>
    <row r="125" spans="1:13" ht="25.05" customHeight="1" x14ac:dyDescent="0.3">
      <c r="A125" s="43" t="s">
        <v>262</v>
      </c>
      <c r="B125" s="50" t="s">
        <v>263</v>
      </c>
      <c r="C125" s="50"/>
      <c r="D125" s="50"/>
      <c r="E125" s="50"/>
      <c r="F125" s="50"/>
      <c r="G125" s="50"/>
      <c r="H125" s="50"/>
      <c r="I125" s="6"/>
      <c r="J125" s="6"/>
      <c r="K125" s="6"/>
      <c r="L125" s="6"/>
    </row>
    <row r="126" spans="1:13" ht="25.05" customHeight="1" x14ac:dyDescent="0.3">
      <c r="A126" s="41" t="s">
        <v>264</v>
      </c>
      <c r="B126" s="35" t="s">
        <v>265</v>
      </c>
      <c r="C126" s="36" t="s">
        <v>266</v>
      </c>
      <c r="D126" s="46">
        <v>1240.7449999999999</v>
      </c>
      <c r="E126" s="46">
        <v>2</v>
      </c>
      <c r="F126" s="42">
        <f>PRODUCT(D126:E126)</f>
        <v>2481.4899999999998</v>
      </c>
      <c r="G126" s="42">
        <v>2</v>
      </c>
      <c r="H126" s="42">
        <v>2481.4899999999998</v>
      </c>
      <c r="I126" s="7"/>
      <c r="J126" s="7"/>
      <c r="K126" s="7"/>
      <c r="L126" s="7"/>
    </row>
    <row r="127" spans="1:13" ht="25.05" customHeight="1" x14ac:dyDescent="0.3">
      <c r="A127" s="43" t="s">
        <v>267</v>
      </c>
      <c r="B127" s="50" t="s">
        <v>268</v>
      </c>
      <c r="C127" s="50"/>
      <c r="D127" s="50"/>
      <c r="E127" s="50"/>
      <c r="F127" s="50"/>
      <c r="G127" s="50"/>
      <c r="H127" s="50"/>
      <c r="I127" s="6"/>
      <c r="J127" s="6"/>
      <c r="K127" s="6"/>
      <c r="L127" s="6"/>
    </row>
    <row r="128" spans="1:13" ht="25.05" customHeight="1" x14ac:dyDescent="0.3">
      <c r="A128" s="41" t="s">
        <v>269</v>
      </c>
      <c r="B128" s="35" t="s">
        <v>270</v>
      </c>
      <c r="C128" s="36" t="s">
        <v>271</v>
      </c>
      <c r="D128" s="42">
        <v>7820.585</v>
      </c>
      <c r="E128" s="46">
        <v>2</v>
      </c>
      <c r="F128" s="42">
        <f>PRODUCT(D128:E128)</f>
        <v>15641.17</v>
      </c>
      <c r="G128" s="42">
        <v>2</v>
      </c>
      <c r="H128" s="46">
        <v>15641.17</v>
      </c>
      <c r="I128" s="7"/>
      <c r="J128" s="7"/>
      <c r="K128" s="7"/>
      <c r="L128" s="7"/>
    </row>
    <row r="129" spans="1:12" ht="25.05" customHeight="1" x14ac:dyDescent="0.3">
      <c r="A129" s="41" t="s">
        <v>272</v>
      </c>
      <c r="B129" s="35" t="s">
        <v>273</v>
      </c>
      <c r="C129" s="36" t="s">
        <v>274</v>
      </c>
      <c r="D129" s="42">
        <v>1481.52</v>
      </c>
      <c r="E129" s="42">
        <v>2</v>
      </c>
      <c r="F129" s="42">
        <f>PRODUCT(D129:E129)</f>
        <v>2963.04</v>
      </c>
      <c r="G129" s="42">
        <v>2</v>
      </c>
      <c r="H129" s="42">
        <v>2963.04</v>
      </c>
      <c r="I129" s="7"/>
      <c r="J129" s="7"/>
      <c r="K129" s="7"/>
      <c r="L129" s="7"/>
    </row>
    <row r="130" spans="1:12" ht="25.05" customHeight="1" x14ac:dyDescent="0.3">
      <c r="A130" s="41" t="s">
        <v>275</v>
      </c>
      <c r="B130" s="35" t="s">
        <v>276</v>
      </c>
      <c r="C130" s="36" t="s">
        <v>277</v>
      </c>
      <c r="D130" s="42">
        <v>694.548</v>
      </c>
      <c r="E130" s="42">
        <v>10</v>
      </c>
      <c r="F130" s="42">
        <f>PRODUCT(D130:E130)</f>
        <v>6945.48</v>
      </c>
      <c r="G130" s="42">
        <v>10</v>
      </c>
      <c r="H130" s="42">
        <v>6945.48</v>
      </c>
      <c r="I130" s="7"/>
      <c r="J130" s="7"/>
      <c r="K130" s="7"/>
      <c r="L130" s="7"/>
    </row>
    <row r="131" spans="1:12" ht="25.05" customHeight="1" x14ac:dyDescent="0.3">
      <c r="A131" s="41" t="s">
        <v>278</v>
      </c>
      <c r="B131" s="35" t="s">
        <v>279</v>
      </c>
      <c r="C131" s="36" t="s">
        <v>280</v>
      </c>
      <c r="D131" s="42">
        <v>256.25549999999998</v>
      </c>
      <c r="E131" s="42">
        <v>9</v>
      </c>
      <c r="F131" s="42">
        <f>PRODUCT(D131:E131)</f>
        <v>2306.2995000000001</v>
      </c>
      <c r="G131" s="42">
        <v>9</v>
      </c>
      <c r="H131" s="42">
        <v>2306.3000000000002</v>
      </c>
      <c r="I131" s="7"/>
      <c r="J131" s="7"/>
      <c r="K131" s="7"/>
      <c r="L131" s="7"/>
    </row>
    <row r="132" spans="1:12" ht="25.05" customHeight="1" x14ac:dyDescent="0.3">
      <c r="A132" s="43" t="s">
        <v>281</v>
      </c>
      <c r="B132" s="50" t="s">
        <v>282</v>
      </c>
      <c r="C132" s="50"/>
      <c r="D132" s="50"/>
      <c r="E132" s="50"/>
      <c r="F132" s="50"/>
      <c r="G132" s="50"/>
      <c r="H132" s="50"/>
      <c r="I132" s="6"/>
      <c r="J132" s="6"/>
      <c r="K132" s="6"/>
      <c r="L132" s="6"/>
    </row>
    <row r="133" spans="1:12" ht="25.05" customHeight="1" x14ac:dyDescent="0.3">
      <c r="A133" s="41" t="s">
        <v>283</v>
      </c>
      <c r="B133" s="35" t="s">
        <v>284</v>
      </c>
      <c r="C133" s="36" t="s">
        <v>266</v>
      </c>
      <c r="D133" s="42">
        <v>1086.94</v>
      </c>
      <c r="E133" s="46">
        <v>4</v>
      </c>
      <c r="F133" s="42">
        <f>PRODUCT(D133:E133)</f>
        <v>4347.76</v>
      </c>
      <c r="G133" s="42">
        <v>4</v>
      </c>
      <c r="H133" s="46">
        <v>4347.76</v>
      </c>
      <c r="I133" s="7"/>
      <c r="J133" s="7"/>
      <c r="K133" s="7"/>
      <c r="L133" s="7"/>
    </row>
    <row r="134" spans="1:12" ht="25.05" customHeight="1" x14ac:dyDescent="0.3">
      <c r="A134" s="43" t="s">
        <v>285</v>
      </c>
      <c r="B134" s="50" t="s">
        <v>286</v>
      </c>
      <c r="C134" s="50"/>
      <c r="D134" s="50"/>
      <c r="E134" s="50"/>
      <c r="F134" s="50"/>
      <c r="G134" s="50"/>
      <c r="H134" s="50"/>
      <c r="I134" s="6"/>
      <c r="J134" s="6"/>
      <c r="K134" s="6"/>
      <c r="L134" s="6"/>
    </row>
    <row r="135" spans="1:12" ht="25.05" customHeight="1" x14ac:dyDescent="0.3">
      <c r="A135" s="41" t="s">
        <v>287</v>
      </c>
      <c r="B135" s="35" t="s">
        <v>288</v>
      </c>
      <c r="C135" s="36" t="s">
        <v>304</v>
      </c>
      <c r="D135" s="42">
        <v>209.84</v>
      </c>
      <c r="E135" s="46">
        <v>3</v>
      </c>
      <c r="F135" s="42">
        <f t="shared" ref="F135:F141" si="1">PRODUCT(D135:E135)</f>
        <v>629.52</v>
      </c>
      <c r="G135" s="42">
        <v>3</v>
      </c>
      <c r="H135" s="46">
        <v>629.52</v>
      </c>
      <c r="I135" s="7"/>
      <c r="J135" s="7"/>
      <c r="K135" s="7"/>
      <c r="L135" s="7"/>
    </row>
    <row r="136" spans="1:12" ht="24.6" customHeight="1" x14ac:dyDescent="0.3">
      <c r="A136" s="41" t="s">
        <v>289</v>
      </c>
      <c r="B136" s="35" t="s">
        <v>290</v>
      </c>
      <c r="C136" s="36" t="s">
        <v>291</v>
      </c>
      <c r="D136" s="42">
        <v>1391.4559999999999</v>
      </c>
      <c r="E136" s="42">
        <v>10</v>
      </c>
      <c r="F136" s="42">
        <f t="shared" si="1"/>
        <v>13914.56</v>
      </c>
      <c r="G136" s="42">
        <v>10</v>
      </c>
      <c r="H136" s="42">
        <v>13914.56</v>
      </c>
      <c r="I136" s="7"/>
      <c r="J136" s="7"/>
      <c r="K136" s="7"/>
      <c r="L136" s="7"/>
    </row>
    <row r="137" spans="1:12" ht="25.05" customHeight="1" x14ac:dyDescent="0.3">
      <c r="A137" s="41" t="s">
        <v>292</v>
      </c>
      <c r="B137" s="35" t="s">
        <v>293</v>
      </c>
      <c r="C137" s="36" t="s">
        <v>291</v>
      </c>
      <c r="D137" s="42">
        <v>184.148</v>
      </c>
      <c r="E137" s="42">
        <v>5</v>
      </c>
      <c r="F137" s="42">
        <f t="shared" si="1"/>
        <v>920.74</v>
      </c>
      <c r="G137" s="42">
        <v>5</v>
      </c>
      <c r="H137" s="42">
        <v>920.74</v>
      </c>
      <c r="I137" s="7"/>
      <c r="J137" s="7"/>
      <c r="K137" s="7"/>
      <c r="L137" s="7"/>
    </row>
    <row r="138" spans="1:12" ht="25.05" customHeight="1" x14ac:dyDescent="0.3">
      <c r="A138" s="41" t="s">
        <v>294</v>
      </c>
      <c r="B138" s="35" t="s">
        <v>295</v>
      </c>
      <c r="C138" s="36" t="s">
        <v>291</v>
      </c>
      <c r="D138" s="42">
        <v>3383.8989999999999</v>
      </c>
      <c r="E138" s="42">
        <v>10</v>
      </c>
      <c r="F138" s="42">
        <f t="shared" si="1"/>
        <v>33838.99</v>
      </c>
      <c r="G138" s="42">
        <v>10</v>
      </c>
      <c r="H138" s="42">
        <v>33838.99</v>
      </c>
      <c r="I138" s="7"/>
      <c r="J138" s="7"/>
      <c r="K138" s="7"/>
      <c r="L138" s="7"/>
    </row>
    <row r="139" spans="1:12" ht="25.05" customHeight="1" x14ac:dyDescent="0.3">
      <c r="A139" s="41" t="s">
        <v>296</v>
      </c>
      <c r="B139" s="35" t="s">
        <v>297</v>
      </c>
      <c r="C139" s="36" t="s">
        <v>298</v>
      </c>
      <c r="D139" s="42">
        <v>190.52359999999999</v>
      </c>
      <c r="E139" s="42">
        <v>30</v>
      </c>
      <c r="F139" s="42">
        <f t="shared" si="1"/>
        <v>5715.7079999999996</v>
      </c>
      <c r="G139" s="42">
        <v>30</v>
      </c>
      <c r="H139" s="42">
        <v>5715.71</v>
      </c>
      <c r="I139" s="7"/>
      <c r="J139" s="7"/>
      <c r="K139" s="7"/>
      <c r="L139" s="7"/>
    </row>
    <row r="140" spans="1:12" ht="25.05" customHeight="1" x14ac:dyDescent="0.3">
      <c r="A140" s="41" t="s">
        <v>299</v>
      </c>
      <c r="B140" s="35" t="s">
        <v>300</v>
      </c>
      <c r="C140" s="36" t="s">
        <v>301</v>
      </c>
      <c r="D140" s="42">
        <v>538.995</v>
      </c>
      <c r="E140" s="42">
        <v>10</v>
      </c>
      <c r="F140" s="42">
        <f t="shared" si="1"/>
        <v>5389.95</v>
      </c>
      <c r="G140" s="42">
        <v>10</v>
      </c>
      <c r="H140" s="42">
        <v>5389.95</v>
      </c>
      <c r="I140" s="7"/>
      <c r="J140" s="7"/>
      <c r="K140" s="7"/>
      <c r="L140" s="7"/>
    </row>
    <row r="141" spans="1:12" ht="25.05" customHeight="1" x14ac:dyDescent="0.3">
      <c r="A141" s="41" t="s">
        <v>302</v>
      </c>
      <c r="B141" s="35" t="s">
        <v>303</v>
      </c>
      <c r="C141" s="36" t="s">
        <v>35</v>
      </c>
      <c r="D141" s="42">
        <v>21.283999999999999</v>
      </c>
      <c r="E141" s="42">
        <v>10</v>
      </c>
      <c r="F141" s="42">
        <f t="shared" si="1"/>
        <v>212.83999999999997</v>
      </c>
      <c r="G141" s="42">
        <v>10</v>
      </c>
      <c r="H141" s="42">
        <v>212.84</v>
      </c>
      <c r="I141" s="7"/>
      <c r="J141" s="7"/>
      <c r="K141" s="7"/>
      <c r="L141" s="7"/>
    </row>
    <row r="142" spans="1:12" ht="25.05" customHeight="1" x14ac:dyDescent="0.3">
      <c r="A142" s="43" t="s">
        <v>305</v>
      </c>
      <c r="B142" s="44" t="s">
        <v>306</v>
      </c>
      <c r="C142" s="44"/>
      <c r="D142" s="44"/>
      <c r="E142" s="44"/>
      <c r="F142" s="44"/>
      <c r="G142" s="44"/>
      <c r="H142" s="44"/>
      <c r="I142" s="3"/>
      <c r="J142" s="3"/>
      <c r="K142" s="3"/>
      <c r="L142" s="3"/>
    </row>
    <row r="143" spans="1:12" ht="25.05" customHeight="1" x14ac:dyDescent="0.3">
      <c r="A143" s="43" t="s">
        <v>307</v>
      </c>
      <c r="B143" s="50" t="s">
        <v>308</v>
      </c>
      <c r="C143" s="50"/>
      <c r="D143" s="50"/>
      <c r="E143" s="50"/>
      <c r="F143" s="50"/>
      <c r="G143" s="50"/>
      <c r="H143" s="50"/>
      <c r="I143" s="6"/>
      <c r="J143" s="6"/>
      <c r="K143" s="6"/>
      <c r="L143" s="6"/>
    </row>
    <row r="144" spans="1:12" ht="49.8" customHeight="1" x14ac:dyDescent="0.3">
      <c r="A144" s="41" t="s">
        <v>309</v>
      </c>
      <c r="B144" s="35" t="s">
        <v>310</v>
      </c>
      <c r="C144" s="36" t="s">
        <v>311</v>
      </c>
      <c r="D144" s="46">
        <v>3.5957666000000001</v>
      </c>
      <c r="E144" s="46">
        <v>2400</v>
      </c>
      <c r="F144" s="42">
        <f>PRODUCT(D144:E144)</f>
        <v>8629.8398400000005</v>
      </c>
      <c r="G144" s="42">
        <v>2400</v>
      </c>
      <c r="H144" s="46">
        <v>8629.84</v>
      </c>
      <c r="I144" s="7"/>
      <c r="J144" s="7"/>
      <c r="K144" s="7"/>
      <c r="L144" s="7"/>
    </row>
    <row r="145" spans="1:12" ht="58.2" customHeight="1" x14ac:dyDescent="0.3">
      <c r="A145" s="41" t="s">
        <v>312</v>
      </c>
      <c r="B145" s="35" t="s">
        <v>313</v>
      </c>
      <c r="C145" s="36" t="s">
        <v>311</v>
      </c>
      <c r="D145" s="42">
        <v>1.1883980000000001</v>
      </c>
      <c r="E145" s="42">
        <v>5677</v>
      </c>
      <c r="F145" s="42">
        <f>PRODUCT(D145:E145)</f>
        <v>6746.5354460000008</v>
      </c>
      <c r="G145" s="42">
        <v>5677</v>
      </c>
      <c r="H145" s="42">
        <v>6746.54</v>
      </c>
      <c r="I145" s="7"/>
      <c r="J145" s="7"/>
      <c r="K145" s="7"/>
      <c r="L145" s="7"/>
    </row>
    <row r="146" spans="1:12" ht="55.2" customHeight="1" x14ac:dyDescent="0.3">
      <c r="A146" s="41" t="s">
        <v>314</v>
      </c>
      <c r="B146" s="35" t="s">
        <v>315</v>
      </c>
      <c r="C146" s="36" t="s">
        <v>311</v>
      </c>
      <c r="D146" s="42">
        <v>13.879099999999999</v>
      </c>
      <c r="E146" s="42">
        <v>1500</v>
      </c>
      <c r="F146" s="42">
        <f>PRODUCT(D146:E146)</f>
        <v>20818.649999999998</v>
      </c>
      <c r="G146" s="42">
        <v>1500</v>
      </c>
      <c r="H146" s="42">
        <v>20818.650000000001</v>
      </c>
      <c r="I146" s="7"/>
      <c r="J146" s="7"/>
      <c r="K146" s="7"/>
      <c r="L146" s="7"/>
    </row>
    <row r="147" spans="1:12" ht="47.4" customHeight="1" x14ac:dyDescent="0.3">
      <c r="A147" s="41" t="s">
        <v>316</v>
      </c>
      <c r="B147" s="35" t="s">
        <v>317</v>
      </c>
      <c r="C147" s="36" t="s">
        <v>311</v>
      </c>
      <c r="D147" s="42">
        <v>31.228000000000002</v>
      </c>
      <c r="E147" s="42">
        <v>200</v>
      </c>
      <c r="F147" s="42">
        <f>PRODUCT(D147:E147)</f>
        <v>6245.6</v>
      </c>
      <c r="G147" s="42">
        <v>200</v>
      </c>
      <c r="H147" s="42">
        <v>6245.6</v>
      </c>
      <c r="I147" s="7"/>
      <c r="J147" s="7"/>
      <c r="K147" s="7"/>
      <c r="L147" s="7"/>
    </row>
    <row r="148" spans="1:12" ht="25.05" customHeight="1" x14ac:dyDescent="0.3">
      <c r="A148" s="43" t="s">
        <v>318</v>
      </c>
      <c r="B148" s="50" t="s">
        <v>319</v>
      </c>
      <c r="C148" s="50"/>
      <c r="D148" s="50"/>
      <c r="E148" s="50"/>
      <c r="F148" s="50"/>
      <c r="G148" s="50"/>
      <c r="H148" s="50"/>
      <c r="I148" s="6"/>
      <c r="J148" s="6"/>
      <c r="K148" s="6"/>
      <c r="L148" s="6"/>
    </row>
    <row r="149" spans="1:12" ht="25.05" customHeight="1" x14ac:dyDescent="0.3">
      <c r="A149" s="41" t="s">
        <v>320</v>
      </c>
      <c r="B149" s="35" t="s">
        <v>321</v>
      </c>
      <c r="C149" s="36" t="s">
        <v>322</v>
      </c>
      <c r="D149" s="42">
        <v>29.14611</v>
      </c>
      <c r="E149" s="46">
        <v>890</v>
      </c>
      <c r="F149" s="42">
        <f>PRODUCT(D149:E149)</f>
        <v>25940.037899999999</v>
      </c>
      <c r="G149" s="42">
        <v>890</v>
      </c>
      <c r="H149" s="46">
        <v>25940.04</v>
      </c>
      <c r="I149" s="7"/>
      <c r="J149" s="7"/>
      <c r="K149" s="7"/>
      <c r="L149" s="7"/>
    </row>
    <row r="150" spans="1:12" ht="25.05" customHeight="1" x14ac:dyDescent="0.3">
      <c r="A150" s="43" t="s">
        <v>323</v>
      </c>
      <c r="B150" s="50" t="s">
        <v>324</v>
      </c>
      <c r="C150" s="50"/>
      <c r="D150" s="50"/>
      <c r="E150" s="50"/>
      <c r="F150" s="50"/>
      <c r="G150" s="50"/>
      <c r="H150" s="50"/>
      <c r="I150" s="6"/>
      <c r="J150" s="6"/>
      <c r="K150" s="6"/>
      <c r="L150" s="6"/>
    </row>
    <row r="151" spans="1:12" ht="25.05" customHeight="1" x14ac:dyDescent="0.3">
      <c r="A151" s="41" t="s">
        <v>325</v>
      </c>
      <c r="B151" s="35" t="s">
        <v>326</v>
      </c>
      <c r="C151" s="36" t="s">
        <v>327</v>
      </c>
      <c r="D151" s="42">
        <v>520.46646999999996</v>
      </c>
      <c r="E151" s="42">
        <v>17</v>
      </c>
      <c r="F151" s="42">
        <f>PRODUCT(D151:E151)</f>
        <v>8847.9299899999987</v>
      </c>
      <c r="G151" s="42">
        <v>17</v>
      </c>
      <c r="H151" s="42">
        <v>8847.93</v>
      </c>
      <c r="I151" s="7"/>
      <c r="J151" s="7"/>
      <c r="K151" s="7"/>
      <c r="L151" s="7"/>
    </row>
    <row r="152" spans="1:12" ht="25.05" customHeight="1" x14ac:dyDescent="0.3">
      <c r="A152" s="41" t="s">
        <v>328</v>
      </c>
      <c r="B152" s="35" t="s">
        <v>329</v>
      </c>
      <c r="C152" s="36" t="s">
        <v>330</v>
      </c>
      <c r="D152" s="42">
        <v>7.5467659999999999</v>
      </c>
      <c r="E152" s="42">
        <v>770</v>
      </c>
      <c r="F152" s="42">
        <f>PRODUCT(D152:E152)</f>
        <v>5811.0098200000002</v>
      </c>
      <c r="G152" s="42">
        <v>770</v>
      </c>
      <c r="H152" s="42">
        <v>5811.01</v>
      </c>
      <c r="I152" s="7"/>
      <c r="J152" s="7"/>
      <c r="K152" s="7"/>
      <c r="L152" s="7"/>
    </row>
    <row r="153" spans="1:12" ht="25.05" customHeight="1" x14ac:dyDescent="0.3">
      <c r="A153" s="41" t="s">
        <v>331</v>
      </c>
      <c r="B153" s="35" t="s">
        <v>332</v>
      </c>
      <c r="C153" s="36" t="s">
        <v>333</v>
      </c>
      <c r="D153" s="42">
        <v>1127.5544</v>
      </c>
      <c r="E153" s="42">
        <v>50</v>
      </c>
      <c r="F153" s="42">
        <f>PRODUCT(D153:E153)</f>
        <v>56377.72</v>
      </c>
      <c r="G153" s="42">
        <v>50</v>
      </c>
      <c r="H153" s="42">
        <v>56377.72</v>
      </c>
      <c r="I153" s="7"/>
      <c r="J153" s="7"/>
      <c r="K153" s="7"/>
      <c r="L153" s="7"/>
    </row>
    <row r="154" spans="1:12" ht="46.2" customHeight="1" x14ac:dyDescent="0.3">
      <c r="A154" s="41" t="s">
        <v>334</v>
      </c>
      <c r="B154" s="35" t="s">
        <v>335</v>
      </c>
      <c r="C154" s="36" t="s">
        <v>311</v>
      </c>
      <c r="D154" s="42">
        <v>12.9079</v>
      </c>
      <c r="E154" s="42">
        <v>200</v>
      </c>
      <c r="F154" s="42">
        <f>PRODUCT(D154:E154)</f>
        <v>2581.58</v>
      </c>
      <c r="G154" s="42">
        <v>200</v>
      </c>
      <c r="H154" s="42">
        <v>2581.58</v>
      </c>
      <c r="I154" s="7"/>
      <c r="J154" s="7"/>
      <c r="K154" s="7"/>
      <c r="L154" s="7"/>
    </row>
    <row r="155" spans="1:12" ht="25.05" customHeight="1" x14ac:dyDescent="0.3">
      <c r="A155" s="43" t="s">
        <v>336</v>
      </c>
      <c r="B155" s="50" t="s">
        <v>337</v>
      </c>
      <c r="C155" s="50"/>
      <c r="D155" s="50"/>
      <c r="E155" s="50"/>
      <c r="F155" s="50"/>
      <c r="G155" s="50"/>
      <c r="H155" s="50"/>
      <c r="I155" s="6"/>
      <c r="J155" s="6"/>
      <c r="K155" s="6"/>
      <c r="L155" s="6"/>
    </row>
    <row r="156" spans="1:12" ht="57.6" customHeight="1" x14ac:dyDescent="0.3">
      <c r="A156" s="41" t="s">
        <v>338</v>
      </c>
      <c r="B156" s="35" t="s">
        <v>339</v>
      </c>
      <c r="C156" s="36" t="s">
        <v>311</v>
      </c>
      <c r="D156" s="42">
        <v>12.90788</v>
      </c>
      <c r="E156" s="42">
        <v>500</v>
      </c>
      <c r="F156" s="42">
        <f>PRODUCT(D156:E156)</f>
        <v>6453.9400000000005</v>
      </c>
      <c r="G156" s="42">
        <v>500</v>
      </c>
      <c r="H156" s="42">
        <v>6453.94</v>
      </c>
      <c r="I156" s="7"/>
      <c r="J156" s="7"/>
      <c r="K156" s="7"/>
      <c r="L156" s="7"/>
    </row>
    <row r="157" spans="1:12" ht="49.8" customHeight="1" x14ac:dyDescent="0.3">
      <c r="A157" s="41" t="s">
        <v>340</v>
      </c>
      <c r="B157" s="35" t="s">
        <v>341</v>
      </c>
      <c r="C157" s="36" t="s">
        <v>311</v>
      </c>
      <c r="D157" s="42">
        <v>3.2269679999999998</v>
      </c>
      <c r="E157" s="42">
        <v>2500</v>
      </c>
      <c r="F157" s="42">
        <f>PRODUCT(D157:E157)</f>
        <v>8067.4199999999992</v>
      </c>
      <c r="G157" s="42">
        <v>2500</v>
      </c>
      <c r="H157" s="42">
        <v>8067.42</v>
      </c>
      <c r="I157" s="7"/>
      <c r="J157" s="7"/>
      <c r="K157" s="7"/>
      <c r="L157" s="7"/>
    </row>
    <row r="158" spans="1:12" ht="25.05" customHeight="1" x14ac:dyDescent="0.3">
      <c r="A158" s="43" t="s">
        <v>342</v>
      </c>
      <c r="B158" s="50" t="s">
        <v>343</v>
      </c>
      <c r="C158" s="50"/>
      <c r="D158" s="50"/>
      <c r="E158" s="50"/>
      <c r="F158" s="50"/>
      <c r="G158" s="50"/>
      <c r="H158" s="50"/>
      <c r="I158" s="6"/>
      <c r="J158" s="6"/>
      <c r="K158" s="6"/>
      <c r="L158" s="6"/>
    </row>
    <row r="159" spans="1:12" ht="52.8" customHeight="1" x14ac:dyDescent="0.3">
      <c r="A159" s="41" t="s">
        <v>344</v>
      </c>
      <c r="B159" s="35" t="s">
        <v>345</v>
      </c>
      <c r="C159" s="36" t="s">
        <v>346</v>
      </c>
      <c r="D159" s="42">
        <v>936.83939999999996</v>
      </c>
      <c r="E159" s="46">
        <v>18</v>
      </c>
      <c r="F159" s="42">
        <f>PRODUCT(D159:E159)</f>
        <v>16863.109199999999</v>
      </c>
      <c r="G159" s="42">
        <v>18</v>
      </c>
      <c r="H159" s="42">
        <v>16863.11</v>
      </c>
      <c r="I159" s="7"/>
      <c r="J159" s="7"/>
      <c r="K159" s="7"/>
      <c r="L159" s="7"/>
    </row>
    <row r="160" spans="1:12" ht="25.05" customHeight="1" x14ac:dyDescent="0.3">
      <c r="A160" s="41" t="s">
        <v>347</v>
      </c>
      <c r="B160" s="35" t="s">
        <v>348</v>
      </c>
      <c r="C160" s="36" t="s">
        <v>349</v>
      </c>
      <c r="D160" s="42">
        <v>5204.6633000000002</v>
      </c>
      <c r="E160" s="42">
        <v>6</v>
      </c>
      <c r="F160" s="42">
        <f>PRODUCT(D160:E160)</f>
        <v>31227.979800000001</v>
      </c>
      <c r="G160" s="42">
        <v>6</v>
      </c>
      <c r="H160" s="42">
        <v>31227.98</v>
      </c>
      <c r="I160" s="7"/>
      <c r="J160" s="7"/>
      <c r="K160" s="7"/>
      <c r="L160" s="7"/>
    </row>
    <row r="161" spans="1:12" ht="25.05" customHeight="1" x14ac:dyDescent="0.3">
      <c r="A161" s="41" t="s">
        <v>350</v>
      </c>
      <c r="B161" s="35" t="s">
        <v>351</v>
      </c>
      <c r="C161" s="36" t="s">
        <v>352</v>
      </c>
      <c r="D161" s="42">
        <v>4621.38</v>
      </c>
      <c r="E161" s="42">
        <v>1</v>
      </c>
      <c r="F161" s="42">
        <f>PRODUCT(D161:E161)</f>
        <v>4621.38</v>
      </c>
      <c r="G161" s="42">
        <v>1</v>
      </c>
      <c r="H161" s="42">
        <v>4621.38</v>
      </c>
      <c r="I161" s="7"/>
      <c r="J161" s="7"/>
      <c r="K161" s="7"/>
      <c r="L161" s="7"/>
    </row>
    <row r="162" spans="1:12" ht="25.05" customHeight="1" x14ac:dyDescent="0.3">
      <c r="A162" s="41" t="s">
        <v>353</v>
      </c>
      <c r="B162" s="35" t="s">
        <v>354</v>
      </c>
      <c r="C162" s="36" t="s">
        <v>352</v>
      </c>
      <c r="D162" s="42">
        <v>1536.65</v>
      </c>
      <c r="E162" s="42">
        <v>1</v>
      </c>
      <c r="F162" s="42">
        <f>PRODUCT(D162:E162)</f>
        <v>1536.65</v>
      </c>
      <c r="G162" s="42">
        <v>1</v>
      </c>
      <c r="H162" s="42">
        <v>1536.65</v>
      </c>
      <c r="I162" s="7"/>
      <c r="J162" s="7"/>
      <c r="K162" s="7"/>
      <c r="L162" s="7"/>
    </row>
    <row r="163" spans="1:12" ht="25.05" customHeight="1" x14ac:dyDescent="0.3">
      <c r="A163" s="43" t="s">
        <v>355</v>
      </c>
      <c r="B163" s="50" t="s">
        <v>356</v>
      </c>
      <c r="C163" s="50"/>
      <c r="D163" s="50"/>
      <c r="E163" s="50"/>
      <c r="F163" s="50"/>
      <c r="G163" s="50"/>
      <c r="H163" s="50"/>
      <c r="I163" s="6"/>
      <c r="J163" s="6"/>
      <c r="K163" s="6"/>
      <c r="L163" s="6"/>
    </row>
    <row r="164" spans="1:12" ht="25.05" customHeight="1" x14ac:dyDescent="0.3">
      <c r="A164" s="43" t="s">
        <v>357</v>
      </c>
      <c r="B164" s="50" t="s">
        <v>358</v>
      </c>
      <c r="C164" s="50"/>
      <c r="D164" s="50"/>
      <c r="E164" s="50"/>
      <c r="F164" s="50"/>
      <c r="G164" s="50"/>
      <c r="H164" s="50"/>
      <c r="I164" s="6"/>
      <c r="J164" s="6"/>
      <c r="K164" s="6"/>
      <c r="L164" s="6"/>
    </row>
    <row r="165" spans="1:12" ht="25.05" customHeight="1" x14ac:dyDescent="0.3">
      <c r="A165" s="41" t="s">
        <v>359</v>
      </c>
      <c r="B165" s="35" t="s">
        <v>360</v>
      </c>
      <c r="C165" s="36" t="s">
        <v>311</v>
      </c>
      <c r="D165" s="42">
        <v>8.6744500000000002</v>
      </c>
      <c r="E165" s="42">
        <v>400</v>
      </c>
      <c r="F165" s="42">
        <f>PRODUCT(D165:E165)</f>
        <v>3469.78</v>
      </c>
      <c r="G165" s="42">
        <v>400</v>
      </c>
      <c r="H165" s="42">
        <v>3469.78</v>
      </c>
      <c r="I165" s="7"/>
      <c r="J165" s="7"/>
      <c r="K165" s="7"/>
      <c r="L165" s="7"/>
    </row>
    <row r="166" spans="1:12" ht="46.2" customHeight="1" x14ac:dyDescent="0.3">
      <c r="A166" s="41" t="s">
        <v>361</v>
      </c>
      <c r="B166" s="35" t="s">
        <v>362</v>
      </c>
      <c r="C166" s="36" t="s">
        <v>363</v>
      </c>
      <c r="D166" s="42">
        <v>3.4697749999999998</v>
      </c>
      <c r="E166" s="42">
        <v>4770</v>
      </c>
      <c r="F166" s="42">
        <f>PRODUCT(D166:E166)</f>
        <v>16550.82675</v>
      </c>
      <c r="G166" s="42">
        <v>4770</v>
      </c>
      <c r="H166" s="42">
        <v>16550.830000000002</v>
      </c>
      <c r="I166" s="7"/>
      <c r="J166" s="7"/>
      <c r="K166" s="7"/>
      <c r="L166" s="7"/>
    </row>
    <row r="167" spans="1:12" ht="25.05" customHeight="1" x14ac:dyDescent="0.3">
      <c r="A167" s="41" t="s">
        <v>364</v>
      </c>
      <c r="B167" s="35" t="s">
        <v>365</v>
      </c>
      <c r="C167" s="36" t="s">
        <v>366</v>
      </c>
      <c r="D167" s="42">
        <v>3073.3</v>
      </c>
      <c r="E167" s="42">
        <v>1</v>
      </c>
      <c r="F167" s="42">
        <f>PRODUCT(D167:E167)</f>
        <v>3073.3</v>
      </c>
      <c r="G167" s="42">
        <v>1</v>
      </c>
      <c r="H167" s="42">
        <v>3073.3</v>
      </c>
      <c r="I167" s="7"/>
      <c r="J167" s="7"/>
      <c r="K167" s="7"/>
      <c r="L167" s="7"/>
    </row>
    <row r="168" spans="1:12" ht="25.05" customHeight="1" x14ac:dyDescent="0.3">
      <c r="A168" s="43" t="s">
        <v>367</v>
      </c>
      <c r="B168" s="50" t="s">
        <v>368</v>
      </c>
      <c r="C168" s="50"/>
      <c r="D168" s="50"/>
      <c r="E168" s="50"/>
      <c r="F168" s="50"/>
      <c r="G168" s="50"/>
      <c r="H168" s="50"/>
      <c r="I168" s="6"/>
      <c r="J168" s="6"/>
      <c r="K168" s="6"/>
      <c r="L168" s="6"/>
    </row>
    <row r="169" spans="1:12" ht="25.05" customHeight="1" x14ac:dyDescent="0.3">
      <c r="A169" s="43" t="s">
        <v>369</v>
      </c>
      <c r="B169" s="50" t="s">
        <v>370</v>
      </c>
      <c r="C169" s="50"/>
      <c r="D169" s="50"/>
      <c r="E169" s="50"/>
      <c r="F169" s="50"/>
      <c r="G169" s="50"/>
      <c r="H169" s="50"/>
      <c r="I169" s="6"/>
      <c r="J169" s="6"/>
      <c r="K169" s="6"/>
      <c r="L169" s="6"/>
    </row>
    <row r="170" spans="1:12" ht="25.05" customHeight="1" x14ac:dyDescent="0.3">
      <c r="A170" s="41" t="s">
        <v>371</v>
      </c>
      <c r="B170" s="35" t="s">
        <v>372</v>
      </c>
      <c r="C170" s="36" t="s">
        <v>373</v>
      </c>
      <c r="D170" s="42">
        <v>430.262</v>
      </c>
      <c r="E170" s="42">
        <v>5</v>
      </c>
      <c r="F170" s="42">
        <f>PRODUCT(D170:E170)</f>
        <v>2151.31</v>
      </c>
      <c r="G170" s="42">
        <v>5</v>
      </c>
      <c r="H170" s="42">
        <v>2151.31</v>
      </c>
      <c r="I170" s="7"/>
      <c r="J170" s="7"/>
      <c r="K170" s="7"/>
      <c r="L170" s="7"/>
    </row>
    <row r="171" spans="1:12" ht="43.2" customHeight="1" x14ac:dyDescent="0.3">
      <c r="A171" s="41" t="s">
        <v>374</v>
      </c>
      <c r="B171" s="35" t="s">
        <v>375</v>
      </c>
      <c r="C171" s="36" t="s">
        <v>376</v>
      </c>
      <c r="D171" s="42">
        <v>145.982</v>
      </c>
      <c r="E171" s="42">
        <v>55</v>
      </c>
      <c r="F171" s="42">
        <f>PRODUCT(D171:E171)</f>
        <v>8029.01</v>
      </c>
      <c r="G171" s="42">
        <v>55</v>
      </c>
      <c r="H171" s="42">
        <v>8029.01</v>
      </c>
      <c r="I171" s="7"/>
      <c r="J171" s="7"/>
      <c r="K171" s="7"/>
      <c r="L171" s="7"/>
    </row>
    <row r="172" spans="1:12" ht="25.05" customHeight="1" x14ac:dyDescent="0.3">
      <c r="A172" s="41" t="s">
        <v>377</v>
      </c>
      <c r="B172" s="35" t="s">
        <v>378</v>
      </c>
      <c r="C172" s="36" t="s">
        <v>194</v>
      </c>
      <c r="D172" s="42">
        <v>583.30730000000005</v>
      </c>
      <c r="E172" s="42">
        <v>26</v>
      </c>
      <c r="F172" s="42">
        <f>PRODUCT(D172:E172)</f>
        <v>15165.989800000001</v>
      </c>
      <c r="G172" s="42">
        <v>26</v>
      </c>
      <c r="H172" s="42">
        <v>15165.99</v>
      </c>
      <c r="I172" s="7"/>
      <c r="J172" s="7"/>
      <c r="K172" s="7"/>
      <c r="L172" s="7"/>
    </row>
    <row r="173" spans="1:12" ht="25.05" customHeight="1" x14ac:dyDescent="0.3">
      <c r="A173" s="43" t="s">
        <v>379</v>
      </c>
      <c r="B173" s="50" t="s">
        <v>380</v>
      </c>
      <c r="C173" s="50"/>
      <c r="D173" s="50"/>
      <c r="E173" s="50"/>
      <c r="F173" s="50"/>
      <c r="G173" s="50"/>
      <c r="H173" s="50"/>
      <c r="I173" s="6"/>
      <c r="J173" s="6"/>
      <c r="K173" s="6"/>
      <c r="L173" s="6"/>
    </row>
    <row r="174" spans="1:12" ht="25.05" customHeight="1" x14ac:dyDescent="0.3">
      <c r="A174" s="41" t="s">
        <v>381</v>
      </c>
      <c r="B174" s="35" t="s">
        <v>382</v>
      </c>
      <c r="C174" s="36" t="s">
        <v>171</v>
      </c>
      <c r="D174" s="42">
        <v>336.66320000000002</v>
      </c>
      <c r="E174" s="42">
        <v>40</v>
      </c>
      <c r="F174" s="42">
        <f>PRODUCT(D174:E174)</f>
        <v>13466.528</v>
      </c>
      <c r="G174" s="42">
        <v>40</v>
      </c>
      <c r="H174" s="42">
        <v>13466.53</v>
      </c>
      <c r="I174" s="7"/>
      <c r="J174" s="7"/>
      <c r="K174" s="7"/>
      <c r="L174" s="7"/>
    </row>
    <row r="175" spans="1:12" ht="25.05" customHeight="1" x14ac:dyDescent="0.3">
      <c r="A175" s="41" t="s">
        <v>383</v>
      </c>
      <c r="B175" s="35" t="s">
        <v>384</v>
      </c>
      <c r="C175" s="36" t="s">
        <v>171</v>
      </c>
      <c r="D175" s="42">
        <v>368.37369999999999</v>
      </c>
      <c r="E175" s="42">
        <v>35</v>
      </c>
      <c r="F175" s="42">
        <f>PRODUCT(D175:E175)</f>
        <v>12893.0795</v>
      </c>
      <c r="G175" s="42">
        <v>35</v>
      </c>
      <c r="H175" s="42">
        <v>12893.08</v>
      </c>
      <c r="I175" s="7"/>
      <c r="J175" s="7"/>
      <c r="K175" s="7"/>
      <c r="L175" s="7"/>
    </row>
    <row r="176" spans="1:12" ht="25.05" customHeight="1" x14ac:dyDescent="0.3">
      <c r="A176" s="43" t="s">
        <v>385</v>
      </c>
      <c r="B176" s="50" t="s">
        <v>386</v>
      </c>
      <c r="C176" s="50"/>
      <c r="D176" s="50"/>
      <c r="E176" s="50"/>
      <c r="F176" s="50"/>
      <c r="G176" s="50"/>
      <c r="H176" s="50"/>
      <c r="I176" s="6"/>
      <c r="J176" s="6"/>
      <c r="K176" s="6"/>
      <c r="L176" s="6"/>
    </row>
    <row r="177" spans="1:12" ht="51" customHeight="1" x14ac:dyDescent="0.3">
      <c r="A177" s="41" t="s">
        <v>387</v>
      </c>
      <c r="B177" s="35" t="s">
        <v>388</v>
      </c>
      <c r="C177" s="36" t="s">
        <v>389</v>
      </c>
      <c r="D177" s="42">
        <v>1665.49</v>
      </c>
      <c r="E177" s="42">
        <v>1</v>
      </c>
      <c r="F177" s="42">
        <f>PRODUCT(D177:E177)</f>
        <v>1665.49</v>
      </c>
      <c r="G177" s="42">
        <v>1</v>
      </c>
      <c r="H177" s="42">
        <v>1665.49</v>
      </c>
      <c r="I177" s="7"/>
      <c r="J177" s="7"/>
      <c r="K177" s="7"/>
      <c r="L177" s="7"/>
    </row>
    <row r="178" spans="1:12" ht="25.05" customHeight="1" x14ac:dyDescent="0.3">
      <c r="A178" s="43" t="s">
        <v>390</v>
      </c>
      <c r="B178" s="44" t="s">
        <v>391</v>
      </c>
      <c r="C178" s="44"/>
      <c r="D178" s="44"/>
      <c r="E178" s="44"/>
      <c r="F178" s="44"/>
      <c r="G178" s="44"/>
      <c r="H178" s="44"/>
      <c r="I178" s="3"/>
      <c r="J178" s="3"/>
      <c r="K178" s="3"/>
      <c r="L178" s="3"/>
    </row>
    <row r="179" spans="1:12" ht="25.05" customHeight="1" x14ac:dyDescent="0.3">
      <c r="A179" s="43" t="s">
        <v>392</v>
      </c>
      <c r="B179" s="50" t="s">
        <v>393</v>
      </c>
      <c r="C179" s="50"/>
      <c r="D179" s="50"/>
      <c r="E179" s="50"/>
      <c r="F179" s="50"/>
      <c r="G179" s="50"/>
      <c r="H179" s="50"/>
      <c r="I179" s="6"/>
      <c r="J179" s="6"/>
      <c r="K179" s="6"/>
      <c r="L179" s="6"/>
    </row>
    <row r="180" spans="1:12" ht="129" customHeight="1" x14ac:dyDescent="0.3">
      <c r="A180" s="41" t="s">
        <v>394</v>
      </c>
      <c r="B180" s="35" t="s">
        <v>395</v>
      </c>
      <c r="C180" s="36" t="s">
        <v>396</v>
      </c>
      <c r="D180" s="42">
        <v>7.1305437950000004</v>
      </c>
      <c r="E180" s="42">
        <v>8220</v>
      </c>
      <c r="F180" s="42">
        <f>PRODUCT(D180:E180)</f>
        <v>58613.069994900005</v>
      </c>
      <c r="G180" s="42">
        <v>8220</v>
      </c>
      <c r="H180" s="42">
        <v>58613.07</v>
      </c>
      <c r="I180" s="7"/>
      <c r="J180" s="7"/>
      <c r="K180" s="7"/>
      <c r="L180" s="7"/>
    </row>
    <row r="181" spans="1:12" ht="25.05" customHeight="1" x14ac:dyDescent="0.3">
      <c r="A181" s="43" t="s">
        <v>397</v>
      </c>
      <c r="B181" s="44" t="s">
        <v>398</v>
      </c>
      <c r="C181" s="44"/>
      <c r="D181" s="44"/>
      <c r="E181" s="44"/>
      <c r="F181" s="44"/>
      <c r="G181" s="44"/>
      <c r="H181" s="44"/>
      <c r="I181" s="3"/>
      <c r="J181" s="3"/>
      <c r="K181" s="3"/>
      <c r="L181" s="3"/>
    </row>
    <row r="182" spans="1:12" ht="25.05" customHeight="1" x14ac:dyDescent="0.3">
      <c r="A182" s="43" t="s">
        <v>399</v>
      </c>
      <c r="B182" s="50" t="s">
        <v>400</v>
      </c>
      <c r="C182" s="50"/>
      <c r="D182" s="50"/>
      <c r="E182" s="50"/>
      <c r="F182" s="50"/>
      <c r="G182" s="50"/>
      <c r="H182" s="50"/>
      <c r="I182" s="6"/>
      <c r="J182" s="6"/>
      <c r="K182" s="6"/>
      <c r="L182" s="6"/>
    </row>
    <row r="183" spans="1:12" ht="79.2" customHeight="1" x14ac:dyDescent="0.3">
      <c r="A183" s="41" t="s">
        <v>401</v>
      </c>
      <c r="B183" s="35" t="s">
        <v>402</v>
      </c>
      <c r="C183" s="36" t="s">
        <v>403</v>
      </c>
      <c r="D183" s="42">
        <v>83274.61</v>
      </c>
      <c r="E183" s="42">
        <v>1</v>
      </c>
      <c r="F183" s="42">
        <f>PRODUCT(D183:E183)</f>
        <v>83274.61</v>
      </c>
      <c r="G183" s="42">
        <v>1</v>
      </c>
      <c r="H183" s="42">
        <v>83274.61</v>
      </c>
      <c r="I183" s="7"/>
      <c r="J183" s="7"/>
      <c r="K183" s="7"/>
      <c r="L183" s="7"/>
    </row>
    <row r="184" spans="1:12" ht="25.05" customHeight="1" x14ac:dyDescent="0.3">
      <c r="A184" s="43" t="s">
        <v>404</v>
      </c>
      <c r="B184" s="50" t="s">
        <v>405</v>
      </c>
      <c r="C184" s="50"/>
      <c r="D184" s="50"/>
      <c r="E184" s="50"/>
      <c r="F184" s="50"/>
      <c r="G184" s="50"/>
      <c r="H184" s="50"/>
      <c r="I184" s="6"/>
      <c r="J184" s="6"/>
      <c r="K184" s="6"/>
      <c r="L184" s="6"/>
    </row>
    <row r="185" spans="1:12" ht="51" customHeight="1" x14ac:dyDescent="0.3">
      <c r="A185" s="41" t="s">
        <v>406</v>
      </c>
      <c r="B185" s="35" t="s">
        <v>407</v>
      </c>
      <c r="C185" s="36" t="s">
        <v>408</v>
      </c>
      <c r="D185" s="42">
        <v>863.77200000000005</v>
      </c>
      <c r="E185" s="42">
        <v>5</v>
      </c>
      <c r="F185" s="42">
        <f>PRODUCT(D185:E185)</f>
        <v>4318.8600000000006</v>
      </c>
      <c r="G185" s="42">
        <v>5</v>
      </c>
      <c r="H185" s="42">
        <v>4318.8599999999997</v>
      </c>
      <c r="I185" s="7"/>
      <c r="J185" s="7"/>
      <c r="K185" s="7"/>
      <c r="L185" s="7"/>
    </row>
    <row r="186" spans="1:12" ht="25.05" customHeight="1" x14ac:dyDescent="0.3">
      <c r="A186" s="43" t="s">
        <v>409</v>
      </c>
      <c r="B186" s="50" t="s">
        <v>410</v>
      </c>
      <c r="C186" s="50"/>
      <c r="D186" s="50"/>
      <c r="E186" s="50"/>
      <c r="F186" s="50"/>
      <c r="G186" s="50"/>
      <c r="H186" s="50"/>
      <c r="I186" s="6"/>
      <c r="J186" s="6"/>
      <c r="K186" s="6"/>
      <c r="L186" s="6"/>
    </row>
    <row r="187" spans="1:12" ht="49.8" customHeight="1" x14ac:dyDescent="0.3">
      <c r="A187" s="41" t="s">
        <v>411</v>
      </c>
      <c r="B187" s="35" t="s">
        <v>412</v>
      </c>
      <c r="C187" s="36" t="s">
        <v>413</v>
      </c>
      <c r="D187" s="42">
        <v>1939.99</v>
      </c>
      <c r="E187" s="42">
        <v>5</v>
      </c>
      <c r="F187" s="42">
        <f t="shared" ref="F187:F195" si="2">PRODUCT(D187:E187)</f>
        <v>9699.9500000000007</v>
      </c>
      <c r="G187" s="42">
        <v>5</v>
      </c>
      <c r="H187" s="42">
        <v>9699.9500000000007</v>
      </c>
    </row>
    <row r="188" spans="1:12" ht="25.05" customHeight="1" x14ac:dyDescent="0.3">
      <c r="A188" s="41" t="s">
        <v>414</v>
      </c>
      <c r="B188" s="35" t="s">
        <v>415</v>
      </c>
      <c r="C188" s="36" t="s">
        <v>416</v>
      </c>
      <c r="D188" s="42">
        <v>2614.77</v>
      </c>
      <c r="E188" s="42">
        <v>2</v>
      </c>
      <c r="F188" s="42">
        <f t="shared" si="2"/>
        <v>5229.54</v>
      </c>
      <c r="G188" s="42">
        <v>2</v>
      </c>
      <c r="H188" s="42">
        <v>5229.54</v>
      </c>
    </row>
    <row r="189" spans="1:12" ht="25.05" customHeight="1" x14ac:dyDescent="0.3">
      <c r="A189" s="41" t="s">
        <v>417</v>
      </c>
      <c r="B189" s="35" t="s">
        <v>418</v>
      </c>
      <c r="C189" s="36" t="s">
        <v>408</v>
      </c>
      <c r="D189" s="42">
        <v>1771.296</v>
      </c>
      <c r="E189" s="42">
        <v>5</v>
      </c>
      <c r="F189" s="42">
        <f t="shared" si="2"/>
        <v>8856.48</v>
      </c>
      <c r="G189" s="42">
        <v>5</v>
      </c>
      <c r="H189" s="42">
        <v>8856.48</v>
      </c>
    </row>
    <row r="190" spans="1:12" ht="25.05" customHeight="1" x14ac:dyDescent="0.3">
      <c r="A190" s="41" t="s">
        <v>419</v>
      </c>
      <c r="B190" s="35" t="s">
        <v>420</v>
      </c>
      <c r="C190" s="36" t="s">
        <v>421</v>
      </c>
      <c r="D190" s="42">
        <v>1096.516363</v>
      </c>
      <c r="E190" s="42">
        <v>88</v>
      </c>
      <c r="F190" s="42">
        <f t="shared" si="2"/>
        <v>96493.439943999998</v>
      </c>
      <c r="G190" s="42">
        <v>88</v>
      </c>
      <c r="H190" s="42">
        <v>96493.440000000002</v>
      </c>
    </row>
    <row r="191" spans="1:12" ht="25.05" customHeight="1" x14ac:dyDescent="0.3">
      <c r="A191" s="41" t="s">
        <v>422</v>
      </c>
      <c r="B191" s="35" t="s">
        <v>423</v>
      </c>
      <c r="C191" s="36" t="s">
        <v>421</v>
      </c>
      <c r="D191" s="42">
        <v>590.43192999999997</v>
      </c>
      <c r="E191" s="42">
        <v>88</v>
      </c>
      <c r="F191" s="42">
        <f t="shared" si="2"/>
        <v>51958.009839999999</v>
      </c>
      <c r="G191" s="42">
        <v>88</v>
      </c>
      <c r="H191" s="42">
        <v>51958.01</v>
      </c>
    </row>
    <row r="192" spans="1:12" ht="25.05" customHeight="1" x14ac:dyDescent="0.3">
      <c r="A192" s="41" t="s">
        <v>424</v>
      </c>
      <c r="B192" s="35" t="s">
        <v>425</v>
      </c>
      <c r="C192" s="36" t="s">
        <v>421</v>
      </c>
      <c r="D192" s="42">
        <v>590.43192999999997</v>
      </c>
      <c r="E192" s="42">
        <v>88</v>
      </c>
      <c r="F192" s="42">
        <f t="shared" si="2"/>
        <v>51958.009839999999</v>
      </c>
      <c r="G192" s="42">
        <v>88</v>
      </c>
      <c r="H192" s="42">
        <v>51958.01</v>
      </c>
    </row>
    <row r="193" spans="1:12" ht="45.6" customHeight="1" x14ac:dyDescent="0.3">
      <c r="A193" s="41" t="s">
        <v>426</v>
      </c>
      <c r="B193" s="35" t="s">
        <v>427</v>
      </c>
      <c r="C193" s="36" t="s">
        <v>421</v>
      </c>
      <c r="D193" s="42">
        <v>337.38965899999999</v>
      </c>
      <c r="E193" s="42">
        <v>88</v>
      </c>
      <c r="F193" s="42">
        <f t="shared" si="2"/>
        <v>29690.289991999998</v>
      </c>
      <c r="G193" s="42">
        <v>88</v>
      </c>
      <c r="H193" s="42">
        <v>29690.29</v>
      </c>
    </row>
    <row r="194" spans="1:12" ht="25.05" customHeight="1" x14ac:dyDescent="0.3">
      <c r="A194" s="41" t="s">
        <v>428</v>
      </c>
      <c r="B194" s="35" t="s">
        <v>429</v>
      </c>
      <c r="C194" s="36" t="s">
        <v>430</v>
      </c>
      <c r="D194" s="42">
        <v>1939.99</v>
      </c>
      <c r="E194" s="42">
        <v>5</v>
      </c>
      <c r="F194" s="42">
        <f t="shared" si="2"/>
        <v>9699.9500000000007</v>
      </c>
      <c r="G194" s="42">
        <v>5</v>
      </c>
      <c r="H194" s="42">
        <v>9699.9500000000007</v>
      </c>
    </row>
    <row r="195" spans="1:12" ht="25.05" customHeight="1" x14ac:dyDescent="0.3">
      <c r="A195" s="41" t="s">
        <v>431</v>
      </c>
      <c r="B195" s="35" t="s">
        <v>432</v>
      </c>
      <c r="C195" s="36" t="s">
        <v>433</v>
      </c>
      <c r="D195" s="42">
        <v>1265.212</v>
      </c>
      <c r="E195" s="42">
        <v>5</v>
      </c>
      <c r="F195" s="42">
        <f t="shared" si="2"/>
        <v>6326.0599999999995</v>
      </c>
      <c r="G195" s="42">
        <v>5</v>
      </c>
      <c r="H195" s="42">
        <v>6326.06</v>
      </c>
    </row>
    <row r="196" spans="1:12" ht="25.05" customHeight="1" x14ac:dyDescent="0.3">
      <c r="A196" s="43" t="s">
        <v>434</v>
      </c>
      <c r="B196" s="50" t="s">
        <v>435</v>
      </c>
      <c r="C196" s="50"/>
      <c r="D196" s="50"/>
      <c r="E196" s="50"/>
      <c r="F196" s="50"/>
      <c r="G196" s="50"/>
      <c r="H196" s="50"/>
      <c r="I196" s="6"/>
      <c r="J196" s="6"/>
      <c r="K196" s="6"/>
      <c r="L196" s="6"/>
    </row>
    <row r="197" spans="1:12" ht="25.05" customHeight="1" x14ac:dyDescent="0.3">
      <c r="A197" s="43" t="s">
        <v>436</v>
      </c>
      <c r="B197" s="50" t="s">
        <v>437</v>
      </c>
      <c r="C197" s="50"/>
      <c r="D197" s="50"/>
      <c r="E197" s="50"/>
      <c r="F197" s="50"/>
      <c r="G197" s="50"/>
      <c r="H197" s="50"/>
      <c r="I197" s="6"/>
      <c r="J197" s="6"/>
      <c r="K197" s="6"/>
      <c r="L197" s="6"/>
    </row>
    <row r="198" spans="1:12" ht="25.05" customHeight="1" x14ac:dyDescent="0.3">
      <c r="A198" s="41" t="s">
        <v>438</v>
      </c>
      <c r="B198" s="35" t="s">
        <v>439</v>
      </c>
      <c r="C198" s="36" t="s">
        <v>440</v>
      </c>
      <c r="D198" s="42">
        <v>3618.23</v>
      </c>
      <c r="E198" s="42">
        <v>1</v>
      </c>
      <c r="F198" s="42">
        <f>PRODUCT(D198:E198)</f>
        <v>3618.23</v>
      </c>
      <c r="G198" s="42">
        <v>1</v>
      </c>
      <c r="H198" s="42">
        <v>3618.23</v>
      </c>
      <c r="I198" s="7"/>
      <c r="J198" s="7"/>
      <c r="K198" s="7"/>
      <c r="L198" s="7"/>
    </row>
    <row r="199" spans="1:12" ht="25.05" customHeight="1" x14ac:dyDescent="0.3">
      <c r="A199" s="41" t="s">
        <v>441</v>
      </c>
      <c r="B199" s="35" t="s">
        <v>442</v>
      </c>
      <c r="C199" s="36" t="s">
        <v>408</v>
      </c>
      <c r="D199" s="42">
        <v>10838.642</v>
      </c>
      <c r="E199" s="42">
        <v>5</v>
      </c>
      <c r="F199" s="42">
        <f>PRODUCT(D199:E199)</f>
        <v>54193.21</v>
      </c>
      <c r="G199" s="42">
        <v>5</v>
      </c>
      <c r="H199" s="42">
        <v>54193.21</v>
      </c>
      <c r="I199" s="7"/>
      <c r="J199" s="7"/>
      <c r="K199" s="7"/>
      <c r="L199" s="7"/>
    </row>
    <row r="200" spans="1:12" ht="25.05" customHeight="1" x14ac:dyDescent="0.3">
      <c r="A200" s="43" t="s">
        <v>443</v>
      </c>
      <c r="B200" s="50" t="s">
        <v>444</v>
      </c>
      <c r="C200" s="50"/>
      <c r="D200" s="50"/>
      <c r="E200" s="50"/>
      <c r="F200" s="50"/>
      <c r="G200" s="50"/>
      <c r="H200" s="50"/>
      <c r="I200" s="6"/>
      <c r="J200" s="6"/>
      <c r="K200" s="6"/>
      <c r="L200" s="6"/>
    </row>
    <row r="201" spans="1:12" ht="25.05" customHeight="1" x14ac:dyDescent="0.3">
      <c r="A201" s="41" t="s">
        <v>445</v>
      </c>
      <c r="B201" s="35" t="s">
        <v>446</v>
      </c>
      <c r="C201" s="36" t="s">
        <v>447</v>
      </c>
      <c r="D201" s="42">
        <v>18813.281999999999</v>
      </c>
      <c r="E201" s="42">
        <v>5</v>
      </c>
      <c r="F201" s="42">
        <f t="shared" ref="F201:F226" si="3">PRODUCT(D201:E201)</f>
        <v>94066.41</v>
      </c>
      <c r="G201" s="42">
        <v>5</v>
      </c>
      <c r="H201" s="42">
        <v>94066.41</v>
      </c>
      <c r="I201" s="7"/>
      <c r="J201" s="7"/>
      <c r="K201" s="7"/>
      <c r="L201" s="7"/>
    </row>
    <row r="202" spans="1:12" ht="25.05" customHeight="1" x14ac:dyDescent="0.3">
      <c r="A202" s="41" t="s">
        <v>448</v>
      </c>
      <c r="B202" s="35" t="s">
        <v>449</v>
      </c>
      <c r="C202" s="36" t="s">
        <v>408</v>
      </c>
      <c r="D202" s="42">
        <v>4771.6540000000005</v>
      </c>
      <c r="E202" s="42">
        <v>5</v>
      </c>
      <c r="F202" s="42">
        <f t="shared" si="3"/>
        <v>23858.270000000004</v>
      </c>
      <c r="G202" s="42">
        <v>5</v>
      </c>
      <c r="H202" s="42">
        <v>23858.27</v>
      </c>
      <c r="I202" s="7"/>
      <c r="J202" s="7"/>
      <c r="K202" s="7"/>
      <c r="L202" s="7"/>
    </row>
    <row r="203" spans="1:12" ht="25.05" customHeight="1" x14ac:dyDescent="0.3">
      <c r="A203" s="41" t="s">
        <v>450</v>
      </c>
      <c r="B203" s="35" t="s">
        <v>451</v>
      </c>
      <c r="C203" s="36" t="s">
        <v>421</v>
      </c>
      <c r="D203" s="42">
        <v>2673.7741999999998</v>
      </c>
      <c r="E203" s="42">
        <v>88</v>
      </c>
      <c r="F203" s="42">
        <f t="shared" si="3"/>
        <v>235292.12959999999</v>
      </c>
      <c r="G203" s="42">
        <v>88</v>
      </c>
      <c r="H203" s="42">
        <v>235292.13</v>
      </c>
      <c r="I203" s="7"/>
      <c r="J203" s="7"/>
      <c r="K203" s="7"/>
      <c r="L203" s="7"/>
    </row>
    <row r="204" spans="1:12" ht="25.05" customHeight="1" x14ac:dyDescent="0.3">
      <c r="A204" s="41" t="s">
        <v>452</v>
      </c>
      <c r="B204" s="35" t="s">
        <v>453</v>
      </c>
      <c r="C204" s="36" t="s">
        <v>421</v>
      </c>
      <c r="D204" s="42">
        <v>9264.3001000000004</v>
      </c>
      <c r="E204" s="42">
        <v>88</v>
      </c>
      <c r="F204" s="42">
        <f t="shared" si="3"/>
        <v>815258.40880000009</v>
      </c>
      <c r="G204" s="42">
        <v>88</v>
      </c>
      <c r="H204" s="42">
        <v>815258.41</v>
      </c>
      <c r="I204" s="7"/>
      <c r="J204" s="7"/>
      <c r="K204" s="7"/>
      <c r="L204" s="7"/>
    </row>
    <row r="205" spans="1:12" ht="25.05" customHeight="1" x14ac:dyDescent="0.3">
      <c r="A205" s="41" t="s">
        <v>454</v>
      </c>
      <c r="B205" s="35" t="s">
        <v>455</v>
      </c>
      <c r="C205" s="36" t="s">
        <v>421</v>
      </c>
      <c r="D205" s="42">
        <v>6783.8643000000002</v>
      </c>
      <c r="E205" s="42">
        <v>88</v>
      </c>
      <c r="F205" s="42">
        <f t="shared" si="3"/>
        <v>596980.05839999998</v>
      </c>
      <c r="G205" s="42">
        <v>88</v>
      </c>
      <c r="H205" s="42">
        <v>596980.06000000006</v>
      </c>
      <c r="I205" s="7"/>
      <c r="J205" s="7"/>
      <c r="K205" s="7"/>
      <c r="L205" s="7"/>
    </row>
    <row r="206" spans="1:12" ht="25.05" customHeight="1" x14ac:dyDescent="0.3">
      <c r="A206" s="41" t="s">
        <v>456</v>
      </c>
      <c r="B206" s="35" t="s">
        <v>457</v>
      </c>
      <c r="C206" s="36" t="s">
        <v>458</v>
      </c>
      <c r="D206" s="42">
        <v>8639.74</v>
      </c>
      <c r="E206" s="42">
        <v>5</v>
      </c>
      <c r="F206" s="42">
        <f t="shared" si="3"/>
        <v>43198.7</v>
      </c>
      <c r="G206" s="42">
        <v>5</v>
      </c>
      <c r="H206" s="42">
        <v>43198.7</v>
      </c>
      <c r="I206" s="7"/>
      <c r="J206" s="7"/>
      <c r="K206" s="7"/>
      <c r="L206" s="7"/>
    </row>
    <row r="207" spans="1:12" ht="25.05" customHeight="1" x14ac:dyDescent="0.3">
      <c r="A207" s="41" t="s">
        <v>459</v>
      </c>
      <c r="B207" s="35" t="s">
        <v>460</v>
      </c>
      <c r="C207" s="36" t="s">
        <v>461</v>
      </c>
      <c r="D207" s="42">
        <v>8291.39</v>
      </c>
      <c r="E207" s="42">
        <v>5</v>
      </c>
      <c r="F207" s="42">
        <f t="shared" si="3"/>
        <v>41456.949999999997</v>
      </c>
      <c r="G207" s="42">
        <v>5</v>
      </c>
      <c r="H207" s="42">
        <v>41456.949999999997</v>
      </c>
      <c r="I207" s="7"/>
      <c r="J207" s="7"/>
      <c r="K207" s="7"/>
      <c r="L207" s="7"/>
    </row>
    <row r="208" spans="1:12" ht="25.05" customHeight="1" x14ac:dyDescent="0.3">
      <c r="A208" s="41" t="s">
        <v>462</v>
      </c>
      <c r="B208" s="35" t="s">
        <v>463</v>
      </c>
      <c r="C208" s="36" t="s">
        <v>464</v>
      </c>
      <c r="D208" s="42">
        <v>3203.4920000000002</v>
      </c>
      <c r="E208" s="42">
        <v>5</v>
      </c>
      <c r="F208" s="42">
        <f t="shared" si="3"/>
        <v>16017.460000000001</v>
      </c>
      <c r="G208" s="42">
        <v>5</v>
      </c>
      <c r="H208" s="42">
        <v>16017.46</v>
      </c>
      <c r="I208" s="7"/>
      <c r="J208" s="7"/>
      <c r="K208" s="7"/>
      <c r="L208" s="7"/>
    </row>
    <row r="209" spans="1:12" ht="25.05" customHeight="1" x14ac:dyDescent="0.3">
      <c r="A209" s="41" t="s">
        <v>465</v>
      </c>
      <c r="B209" s="35" t="s">
        <v>466</v>
      </c>
      <c r="C209" s="36" t="s">
        <v>277</v>
      </c>
      <c r="D209" s="42">
        <v>471.10199999999998</v>
      </c>
      <c r="E209" s="42">
        <v>5</v>
      </c>
      <c r="F209" s="42">
        <f t="shared" si="3"/>
        <v>2355.5099999999998</v>
      </c>
      <c r="G209" s="42">
        <v>5</v>
      </c>
      <c r="H209" s="42">
        <v>2355.5100000000002</v>
      </c>
      <c r="I209" s="7"/>
      <c r="J209" s="7"/>
      <c r="K209" s="7"/>
      <c r="L209" s="7"/>
    </row>
    <row r="210" spans="1:12" ht="25.05" customHeight="1" x14ac:dyDescent="0.3">
      <c r="A210" s="41" t="s">
        <v>467</v>
      </c>
      <c r="B210" s="35" t="s">
        <v>468</v>
      </c>
      <c r="C210" s="36" t="s">
        <v>469</v>
      </c>
      <c r="D210" s="42">
        <v>11801.486000000001</v>
      </c>
      <c r="E210" s="42">
        <v>20</v>
      </c>
      <c r="F210" s="42">
        <f t="shared" si="3"/>
        <v>236029.72000000003</v>
      </c>
      <c r="G210" s="42">
        <v>20</v>
      </c>
      <c r="H210" s="42">
        <v>236029.72</v>
      </c>
      <c r="I210" s="7"/>
      <c r="J210" s="7"/>
      <c r="K210" s="7"/>
      <c r="L210" s="7"/>
    </row>
    <row r="211" spans="1:12" ht="25.05" customHeight="1" x14ac:dyDescent="0.3">
      <c r="A211" s="41" t="s">
        <v>470</v>
      </c>
      <c r="B211" s="35" t="s">
        <v>471</v>
      </c>
      <c r="C211" s="36" t="s">
        <v>472</v>
      </c>
      <c r="D211" s="42">
        <v>7634.6459999999997</v>
      </c>
      <c r="E211" s="42">
        <v>5</v>
      </c>
      <c r="F211" s="42">
        <f t="shared" si="3"/>
        <v>38173.229999999996</v>
      </c>
      <c r="G211" s="42">
        <v>5</v>
      </c>
      <c r="H211" s="42">
        <v>38173.230000000003</v>
      </c>
      <c r="I211" s="7"/>
      <c r="J211" s="7"/>
      <c r="K211" s="7"/>
      <c r="L211" s="7"/>
    </row>
    <row r="212" spans="1:12" ht="25.05" customHeight="1" x14ac:dyDescent="0.3">
      <c r="A212" s="41" t="s">
        <v>473</v>
      </c>
      <c r="B212" s="35" t="s">
        <v>474</v>
      </c>
      <c r="C212" s="36" t="s">
        <v>475</v>
      </c>
      <c r="D212" s="42">
        <v>338.06349999999998</v>
      </c>
      <c r="E212" s="42">
        <v>40</v>
      </c>
      <c r="F212" s="42">
        <f t="shared" si="3"/>
        <v>13522.539999999999</v>
      </c>
      <c r="G212" s="42">
        <v>40</v>
      </c>
      <c r="H212" s="42">
        <v>13522.54</v>
      </c>
      <c r="I212" s="7"/>
      <c r="J212" s="7"/>
      <c r="K212" s="7"/>
      <c r="L212" s="7"/>
    </row>
    <row r="213" spans="1:12" ht="25.05" customHeight="1" x14ac:dyDescent="0.3">
      <c r="A213" s="41" t="s">
        <v>476</v>
      </c>
      <c r="B213" s="35" t="s">
        <v>477</v>
      </c>
      <c r="C213" s="36" t="s">
        <v>475</v>
      </c>
      <c r="D213" s="42">
        <v>5506.5339999999997</v>
      </c>
      <c r="E213" s="42">
        <v>5</v>
      </c>
      <c r="F213" s="42">
        <f t="shared" si="3"/>
        <v>27532.67</v>
      </c>
      <c r="G213" s="42">
        <v>5</v>
      </c>
      <c r="H213" s="42">
        <v>27532.67</v>
      </c>
      <c r="I213" s="7"/>
      <c r="J213" s="7"/>
      <c r="K213" s="7"/>
      <c r="L213" s="7"/>
    </row>
    <row r="214" spans="1:12" ht="25.05" customHeight="1" x14ac:dyDescent="0.3">
      <c r="A214" s="41" t="s">
        <v>478</v>
      </c>
      <c r="B214" s="35" t="s">
        <v>479</v>
      </c>
      <c r="C214" s="36" t="s">
        <v>413</v>
      </c>
      <c r="D214" s="42">
        <v>9610.4740000000002</v>
      </c>
      <c r="E214" s="42">
        <v>5</v>
      </c>
      <c r="F214" s="42">
        <f t="shared" si="3"/>
        <v>48052.37</v>
      </c>
      <c r="G214" s="42">
        <v>5</v>
      </c>
      <c r="H214" s="42">
        <v>48052.37</v>
      </c>
      <c r="I214" s="7"/>
      <c r="J214" s="7"/>
      <c r="K214" s="7"/>
      <c r="L214" s="7"/>
    </row>
    <row r="215" spans="1:12" ht="25.05" customHeight="1" x14ac:dyDescent="0.3">
      <c r="A215" s="41" t="s">
        <v>480</v>
      </c>
      <c r="B215" s="35" t="s">
        <v>481</v>
      </c>
      <c r="C215" s="36" t="s">
        <v>413</v>
      </c>
      <c r="D215" s="42">
        <v>6312.7619999999997</v>
      </c>
      <c r="E215" s="42">
        <v>5</v>
      </c>
      <c r="F215" s="42">
        <f t="shared" si="3"/>
        <v>31563.809999999998</v>
      </c>
      <c r="G215" s="42">
        <v>5</v>
      </c>
      <c r="H215" s="42">
        <v>31563.81</v>
      </c>
      <c r="I215" s="7"/>
      <c r="J215" s="7"/>
      <c r="K215" s="7"/>
      <c r="L215" s="7"/>
    </row>
    <row r="216" spans="1:12" ht="25.05" customHeight="1" x14ac:dyDescent="0.3">
      <c r="A216" s="41" t="s">
        <v>482</v>
      </c>
      <c r="B216" s="35" t="s">
        <v>483</v>
      </c>
      <c r="C216" s="36" t="s">
        <v>413</v>
      </c>
      <c r="D216" s="42">
        <v>1067.83</v>
      </c>
      <c r="E216" s="42">
        <v>5</v>
      </c>
      <c r="F216" s="42">
        <f t="shared" si="3"/>
        <v>5339.15</v>
      </c>
      <c r="G216" s="42">
        <v>5</v>
      </c>
      <c r="H216" s="42">
        <v>5339.15</v>
      </c>
      <c r="I216" s="7"/>
      <c r="J216" s="7"/>
      <c r="K216" s="7"/>
      <c r="L216" s="7"/>
    </row>
    <row r="217" spans="1:12" ht="25.05" customHeight="1" x14ac:dyDescent="0.3">
      <c r="A217" s="41" t="s">
        <v>484</v>
      </c>
      <c r="B217" s="35" t="s">
        <v>485</v>
      </c>
      <c r="C217" s="36" t="s">
        <v>486</v>
      </c>
      <c r="D217" s="42">
        <v>7182.4340000000002</v>
      </c>
      <c r="E217" s="42">
        <v>5</v>
      </c>
      <c r="F217" s="42">
        <f t="shared" si="3"/>
        <v>35912.17</v>
      </c>
      <c r="G217" s="42">
        <v>5</v>
      </c>
      <c r="H217" s="42">
        <v>35912.17</v>
      </c>
      <c r="I217" s="7"/>
      <c r="J217" s="7"/>
      <c r="K217" s="7"/>
      <c r="L217" s="7"/>
    </row>
    <row r="218" spans="1:12" ht="25.05" customHeight="1" x14ac:dyDescent="0.3">
      <c r="A218" s="41" t="s">
        <v>487</v>
      </c>
      <c r="B218" s="35" t="s">
        <v>488</v>
      </c>
      <c r="C218" s="36" t="s">
        <v>352</v>
      </c>
      <c r="D218" s="42">
        <v>146.9837</v>
      </c>
      <c r="E218" s="42">
        <v>240</v>
      </c>
      <c r="F218" s="42">
        <f t="shared" si="3"/>
        <v>35276.088000000003</v>
      </c>
      <c r="G218" s="42">
        <v>240</v>
      </c>
      <c r="H218" s="42">
        <v>35276.089999999997</v>
      </c>
      <c r="I218" s="7"/>
      <c r="J218" s="7"/>
      <c r="K218" s="7"/>
      <c r="L218" s="7"/>
    </row>
    <row r="219" spans="1:12" ht="25.05" customHeight="1" x14ac:dyDescent="0.3">
      <c r="A219" s="41" t="s">
        <v>489</v>
      </c>
      <c r="B219" s="35" t="s">
        <v>490</v>
      </c>
      <c r="C219" s="36" t="s">
        <v>491</v>
      </c>
      <c r="D219" s="42">
        <v>829.79190000000006</v>
      </c>
      <c r="E219" s="42">
        <v>93</v>
      </c>
      <c r="F219" s="42">
        <f t="shared" si="3"/>
        <v>77170.646700000012</v>
      </c>
      <c r="G219" s="42">
        <v>93</v>
      </c>
      <c r="H219" s="42">
        <v>77170.649999999994</v>
      </c>
      <c r="I219" s="7"/>
      <c r="J219" s="7"/>
      <c r="K219" s="7"/>
      <c r="L219" s="7"/>
    </row>
    <row r="220" spans="1:12" ht="25.05" customHeight="1" x14ac:dyDescent="0.3">
      <c r="A220" s="41" t="s">
        <v>492</v>
      </c>
      <c r="B220" s="35" t="s">
        <v>493</v>
      </c>
      <c r="C220" s="36" t="s">
        <v>494</v>
      </c>
      <c r="D220" s="42">
        <v>2397.1768000000002</v>
      </c>
      <c r="E220" s="42">
        <v>48</v>
      </c>
      <c r="F220" s="42">
        <f t="shared" si="3"/>
        <v>115064.48640000001</v>
      </c>
      <c r="G220" s="42">
        <v>48</v>
      </c>
      <c r="H220" s="42">
        <v>115064.49</v>
      </c>
      <c r="I220" s="7"/>
      <c r="J220" s="7"/>
      <c r="K220" s="7"/>
      <c r="L220" s="7"/>
    </row>
    <row r="221" spans="1:12" ht="25.05" customHeight="1" x14ac:dyDescent="0.3">
      <c r="A221" s="41" t="s">
        <v>495</v>
      </c>
      <c r="B221" s="35" t="s">
        <v>496</v>
      </c>
      <c r="C221" s="36" t="s">
        <v>497</v>
      </c>
      <c r="D221" s="42">
        <v>477.96800000000002</v>
      </c>
      <c r="E221" s="42">
        <v>5</v>
      </c>
      <c r="F221" s="42">
        <f t="shared" si="3"/>
        <v>2389.84</v>
      </c>
      <c r="G221" s="42">
        <v>5</v>
      </c>
      <c r="H221" s="42">
        <v>2389.84</v>
      </c>
      <c r="I221" s="7"/>
      <c r="J221" s="7"/>
      <c r="K221" s="7"/>
      <c r="L221" s="7"/>
    </row>
    <row r="222" spans="1:12" ht="25.05" customHeight="1" x14ac:dyDescent="0.3">
      <c r="A222" s="41" t="s">
        <v>498</v>
      </c>
      <c r="B222" s="35" t="s">
        <v>499</v>
      </c>
      <c r="C222" s="36" t="s">
        <v>277</v>
      </c>
      <c r="D222" s="42">
        <v>2292.694</v>
      </c>
      <c r="E222" s="42">
        <v>5</v>
      </c>
      <c r="F222" s="42">
        <f t="shared" si="3"/>
        <v>11463.47</v>
      </c>
      <c r="G222" s="42">
        <v>5</v>
      </c>
      <c r="H222" s="42">
        <v>11463.47</v>
      </c>
      <c r="I222" s="7"/>
      <c r="J222" s="7"/>
      <c r="K222" s="7"/>
      <c r="L222" s="7"/>
    </row>
    <row r="223" spans="1:12" ht="25.05" customHeight="1" x14ac:dyDescent="0.3">
      <c r="A223" s="41" t="s">
        <v>500</v>
      </c>
      <c r="B223" s="35" t="s">
        <v>501</v>
      </c>
      <c r="C223" s="36" t="s">
        <v>502</v>
      </c>
      <c r="D223" s="42">
        <v>1601.7456</v>
      </c>
      <c r="E223" s="42">
        <v>25</v>
      </c>
      <c r="F223" s="42">
        <f t="shared" si="3"/>
        <v>40043.64</v>
      </c>
      <c r="G223" s="42">
        <v>25</v>
      </c>
      <c r="H223" s="42">
        <v>40043.64</v>
      </c>
      <c r="I223" s="7"/>
      <c r="J223" s="7"/>
      <c r="K223" s="7"/>
      <c r="L223" s="7"/>
    </row>
    <row r="224" spans="1:12" ht="25.05" customHeight="1" x14ac:dyDescent="0.3">
      <c r="A224" s="41" t="s">
        <v>503</v>
      </c>
      <c r="B224" s="35" t="s">
        <v>504</v>
      </c>
      <c r="C224" s="36" t="s">
        <v>505</v>
      </c>
      <c r="D224" s="42">
        <v>1538.932</v>
      </c>
      <c r="E224" s="42">
        <v>5</v>
      </c>
      <c r="F224" s="42">
        <f t="shared" si="3"/>
        <v>7694.66</v>
      </c>
      <c r="G224" s="42">
        <v>5</v>
      </c>
      <c r="H224" s="42">
        <v>7694.66</v>
      </c>
      <c r="I224" s="7"/>
      <c r="J224" s="7"/>
      <c r="K224" s="7"/>
      <c r="L224" s="7"/>
    </row>
    <row r="225" spans="1:12" ht="25.05" customHeight="1" x14ac:dyDescent="0.3">
      <c r="A225" s="41" t="s">
        <v>506</v>
      </c>
      <c r="B225" s="35" t="s">
        <v>507</v>
      </c>
      <c r="C225" s="36" t="s">
        <v>505</v>
      </c>
      <c r="D225" s="42">
        <v>502.50799999999998</v>
      </c>
      <c r="E225" s="42">
        <v>5</v>
      </c>
      <c r="F225" s="42">
        <f t="shared" si="3"/>
        <v>2512.54</v>
      </c>
      <c r="G225" s="42">
        <v>5</v>
      </c>
      <c r="H225" s="42">
        <v>2512.54</v>
      </c>
      <c r="I225" s="7"/>
      <c r="J225" s="7"/>
      <c r="K225" s="7"/>
      <c r="L225" s="7"/>
    </row>
    <row r="226" spans="1:12" ht="25.05" customHeight="1" x14ac:dyDescent="0.3">
      <c r="A226" s="41" t="s">
        <v>508</v>
      </c>
      <c r="B226" s="35" t="s">
        <v>509</v>
      </c>
      <c r="C226" s="36" t="s">
        <v>510</v>
      </c>
      <c r="D226" s="42">
        <v>3391.9319999999998</v>
      </c>
      <c r="E226" s="42">
        <v>5</v>
      </c>
      <c r="F226" s="42">
        <f t="shared" si="3"/>
        <v>16959.66</v>
      </c>
      <c r="G226" s="42">
        <v>5</v>
      </c>
      <c r="H226" s="42">
        <v>16959.66</v>
      </c>
      <c r="I226" s="7"/>
      <c r="J226" s="7"/>
      <c r="K226" s="7"/>
      <c r="L226" s="7"/>
    </row>
    <row r="227" spans="1:12" ht="25.05" customHeight="1" x14ac:dyDescent="0.3">
      <c r="A227" s="43" t="s">
        <v>511</v>
      </c>
      <c r="B227" s="50" t="s">
        <v>512</v>
      </c>
      <c r="C227" s="50"/>
      <c r="D227" s="50"/>
      <c r="E227" s="50"/>
      <c r="F227" s="50"/>
      <c r="G227" s="50"/>
      <c r="H227" s="50"/>
      <c r="I227" s="6"/>
      <c r="J227" s="6"/>
      <c r="K227" s="6"/>
      <c r="L227" s="6"/>
    </row>
    <row r="228" spans="1:12" ht="25.05" customHeight="1" x14ac:dyDescent="0.3">
      <c r="A228" s="41" t="s">
        <v>513</v>
      </c>
      <c r="B228" s="35" t="s">
        <v>514</v>
      </c>
      <c r="C228" s="36" t="s">
        <v>515</v>
      </c>
      <c r="D228" s="42">
        <v>860.52599999999995</v>
      </c>
      <c r="E228" s="42">
        <v>5</v>
      </c>
      <c r="F228" s="42">
        <f t="shared" ref="F228:F241" si="4">PRODUCT(D228:E228)</f>
        <v>4302.63</v>
      </c>
      <c r="G228" s="42">
        <v>5</v>
      </c>
      <c r="H228" s="42">
        <v>4302.63</v>
      </c>
      <c r="I228" s="7"/>
      <c r="J228" s="7"/>
      <c r="K228" s="7"/>
      <c r="L228" s="7"/>
    </row>
    <row r="229" spans="1:12" ht="25.05" customHeight="1" x14ac:dyDescent="0.3">
      <c r="A229" s="41" t="s">
        <v>516</v>
      </c>
      <c r="B229" s="35" t="s">
        <v>517</v>
      </c>
      <c r="C229" s="36" t="s">
        <v>518</v>
      </c>
      <c r="D229" s="42">
        <v>1565.7</v>
      </c>
      <c r="E229" s="42">
        <v>5</v>
      </c>
      <c r="F229" s="42">
        <f t="shared" si="4"/>
        <v>7828.5</v>
      </c>
      <c r="G229" s="42">
        <v>5</v>
      </c>
      <c r="H229" s="42">
        <v>7828.5</v>
      </c>
      <c r="I229" s="7"/>
      <c r="J229" s="7"/>
      <c r="K229" s="7"/>
      <c r="L229" s="7"/>
    </row>
    <row r="230" spans="1:12" ht="25.05" customHeight="1" x14ac:dyDescent="0.3">
      <c r="A230" s="41" t="s">
        <v>519</v>
      </c>
      <c r="B230" s="35" t="s">
        <v>520</v>
      </c>
      <c r="C230" s="36" t="s">
        <v>240</v>
      </c>
      <c r="D230" s="42">
        <v>604.5806</v>
      </c>
      <c r="E230" s="42">
        <v>15</v>
      </c>
      <c r="F230" s="42">
        <f t="shared" si="4"/>
        <v>9068.7090000000007</v>
      </c>
      <c r="G230" s="42">
        <v>15</v>
      </c>
      <c r="H230" s="42">
        <v>9068.7099999999991</v>
      </c>
      <c r="I230" s="7"/>
      <c r="J230" s="7"/>
      <c r="K230" s="7"/>
      <c r="L230" s="7"/>
    </row>
    <row r="231" spans="1:12" ht="25.05" customHeight="1" x14ac:dyDescent="0.3">
      <c r="A231" s="41" t="s">
        <v>521</v>
      </c>
      <c r="B231" s="35" t="s">
        <v>522</v>
      </c>
      <c r="C231" s="36" t="s">
        <v>523</v>
      </c>
      <c r="D231" s="42">
        <v>16797.574000000001</v>
      </c>
      <c r="E231" s="42">
        <v>5</v>
      </c>
      <c r="F231" s="42">
        <f t="shared" si="4"/>
        <v>83987.87</v>
      </c>
      <c r="G231" s="42">
        <v>5</v>
      </c>
      <c r="H231" s="42">
        <v>83987.87</v>
      </c>
      <c r="I231" s="7"/>
      <c r="J231" s="7"/>
      <c r="K231" s="7"/>
      <c r="L231" s="7"/>
    </row>
    <row r="232" spans="1:12" ht="25.05" customHeight="1" x14ac:dyDescent="0.3">
      <c r="A232" s="41" t="s">
        <v>524</v>
      </c>
      <c r="B232" s="35" t="s">
        <v>525</v>
      </c>
      <c r="C232" s="36" t="s">
        <v>526</v>
      </c>
      <c r="D232" s="42">
        <v>659.54200000000003</v>
      </c>
      <c r="E232" s="42">
        <v>5</v>
      </c>
      <c r="F232" s="42">
        <f t="shared" si="4"/>
        <v>3297.71</v>
      </c>
      <c r="G232" s="42">
        <v>5</v>
      </c>
      <c r="H232" s="42">
        <v>3297.71</v>
      </c>
      <c r="I232" s="7"/>
      <c r="J232" s="7"/>
      <c r="K232" s="7"/>
      <c r="L232" s="7"/>
    </row>
    <row r="233" spans="1:12" ht="25.05" customHeight="1" x14ac:dyDescent="0.3">
      <c r="A233" s="41" t="s">
        <v>527</v>
      </c>
      <c r="B233" s="35" t="s">
        <v>528</v>
      </c>
      <c r="C233" s="36" t="s">
        <v>529</v>
      </c>
      <c r="D233" s="42">
        <v>891.25800000000004</v>
      </c>
      <c r="E233" s="42">
        <v>5</v>
      </c>
      <c r="F233" s="42">
        <f t="shared" si="4"/>
        <v>4456.29</v>
      </c>
      <c r="G233" s="42">
        <v>5</v>
      </c>
      <c r="H233" s="42">
        <v>4456.29</v>
      </c>
      <c r="I233" s="7"/>
      <c r="J233" s="7"/>
      <c r="K233" s="7"/>
      <c r="L233" s="7"/>
    </row>
    <row r="234" spans="1:12" ht="25.05" customHeight="1" x14ac:dyDescent="0.3">
      <c r="A234" s="41" t="s">
        <v>530</v>
      </c>
      <c r="B234" s="35" t="s">
        <v>531</v>
      </c>
      <c r="C234" s="36" t="s">
        <v>502</v>
      </c>
      <c r="D234" s="42">
        <v>533.91499999999996</v>
      </c>
      <c r="E234" s="42">
        <v>15</v>
      </c>
      <c r="F234" s="42">
        <f t="shared" si="4"/>
        <v>8008.7249999999995</v>
      </c>
      <c r="G234" s="42">
        <v>15</v>
      </c>
      <c r="H234" s="42">
        <v>8008.73</v>
      </c>
      <c r="I234" s="7"/>
      <c r="J234" s="7"/>
      <c r="K234" s="7"/>
      <c r="L234" s="7"/>
    </row>
    <row r="235" spans="1:12" ht="25.05" customHeight="1" x14ac:dyDescent="0.3">
      <c r="A235" s="41" t="s">
        <v>532</v>
      </c>
      <c r="B235" s="35" t="s">
        <v>533</v>
      </c>
      <c r="C235" s="36" t="s">
        <v>534</v>
      </c>
      <c r="D235" s="42">
        <v>1229.3219999999999</v>
      </c>
      <c r="E235" s="42">
        <v>5</v>
      </c>
      <c r="F235" s="42">
        <f t="shared" si="4"/>
        <v>6146.61</v>
      </c>
      <c r="G235" s="42">
        <v>5</v>
      </c>
      <c r="H235" s="42">
        <v>6146.61</v>
      </c>
      <c r="I235" s="7"/>
      <c r="J235" s="7"/>
      <c r="K235" s="7"/>
      <c r="L235" s="7"/>
    </row>
    <row r="236" spans="1:12" ht="25.05" customHeight="1" x14ac:dyDescent="0.3">
      <c r="A236" s="41" t="s">
        <v>535</v>
      </c>
      <c r="B236" s="35" t="s">
        <v>536</v>
      </c>
      <c r="C236" s="36" t="s">
        <v>537</v>
      </c>
      <c r="D236" s="42">
        <v>973.61</v>
      </c>
      <c r="E236" s="42">
        <v>5</v>
      </c>
      <c r="F236" s="42">
        <f t="shared" si="4"/>
        <v>4868.05</v>
      </c>
      <c r="G236" s="42">
        <v>5</v>
      </c>
      <c r="H236" s="42">
        <v>4868.05</v>
      </c>
      <c r="I236" s="7"/>
      <c r="J236" s="7"/>
      <c r="K236" s="7"/>
      <c r="L236" s="7"/>
    </row>
    <row r="237" spans="1:12" ht="25.05" customHeight="1" x14ac:dyDescent="0.3">
      <c r="A237" s="41" t="s">
        <v>538</v>
      </c>
      <c r="B237" s="35" t="s">
        <v>539</v>
      </c>
      <c r="C237" s="36" t="s">
        <v>537</v>
      </c>
      <c r="D237" s="42">
        <v>1444.712</v>
      </c>
      <c r="E237" s="42">
        <v>5</v>
      </c>
      <c r="F237" s="42">
        <f t="shared" si="4"/>
        <v>7223.5599999999995</v>
      </c>
      <c r="G237" s="42">
        <v>5</v>
      </c>
      <c r="H237" s="42">
        <v>7223.56</v>
      </c>
      <c r="I237" s="7"/>
      <c r="J237" s="7"/>
      <c r="K237" s="7"/>
      <c r="L237" s="7"/>
    </row>
    <row r="238" spans="1:12" ht="25.05" customHeight="1" x14ac:dyDescent="0.3">
      <c r="A238" s="41" t="s">
        <v>540</v>
      </c>
      <c r="B238" s="35" t="s">
        <v>541</v>
      </c>
      <c r="C238" s="36" t="s">
        <v>542</v>
      </c>
      <c r="D238" s="42">
        <v>1884.4059999999999</v>
      </c>
      <c r="E238" s="42">
        <v>5</v>
      </c>
      <c r="F238" s="42">
        <f t="shared" si="4"/>
        <v>9422.0299999999988</v>
      </c>
      <c r="G238" s="42">
        <v>5</v>
      </c>
      <c r="H238" s="42">
        <v>9422.0300000000007</v>
      </c>
      <c r="I238" s="7"/>
      <c r="J238" s="7"/>
      <c r="K238" s="7"/>
      <c r="L238" s="7"/>
    </row>
    <row r="239" spans="1:12" ht="23.4" customHeight="1" x14ac:dyDescent="0.3">
      <c r="A239" s="41" t="s">
        <v>543</v>
      </c>
      <c r="B239" s="35" t="s">
        <v>544</v>
      </c>
      <c r="C239" s="36" t="s">
        <v>545</v>
      </c>
      <c r="D239" s="42">
        <v>86.368600000000001</v>
      </c>
      <c r="E239" s="42">
        <v>15</v>
      </c>
      <c r="F239" s="42">
        <f t="shared" si="4"/>
        <v>1295.529</v>
      </c>
      <c r="G239" s="42">
        <v>5</v>
      </c>
      <c r="H239" s="42">
        <v>1295.53</v>
      </c>
      <c r="I239" s="7"/>
      <c r="J239" s="7"/>
      <c r="K239" s="7"/>
      <c r="L239" s="7"/>
    </row>
    <row r="240" spans="1:12" ht="25.05" customHeight="1" x14ac:dyDescent="0.3">
      <c r="A240" s="41" t="s">
        <v>546</v>
      </c>
      <c r="B240" s="35" t="s">
        <v>547</v>
      </c>
      <c r="C240" s="36" t="s">
        <v>548</v>
      </c>
      <c r="D240" s="42">
        <v>2290.0520000000001</v>
      </c>
      <c r="E240" s="42">
        <v>5</v>
      </c>
      <c r="F240" s="42">
        <f t="shared" si="4"/>
        <v>11450.26</v>
      </c>
      <c r="G240" s="42">
        <v>5</v>
      </c>
      <c r="H240" s="42">
        <v>11450.26</v>
      </c>
      <c r="I240" s="7"/>
      <c r="J240" s="7"/>
      <c r="K240" s="7"/>
      <c r="L240" s="7"/>
    </row>
    <row r="241" spans="1:12" ht="25.05" customHeight="1" x14ac:dyDescent="0.3">
      <c r="A241" s="41" t="s">
        <v>549</v>
      </c>
      <c r="B241" s="35" t="s">
        <v>550</v>
      </c>
      <c r="C241" s="36" t="s">
        <v>408</v>
      </c>
      <c r="D241" s="42">
        <v>5985.3620000000001</v>
      </c>
      <c r="E241" s="42">
        <v>5</v>
      </c>
      <c r="F241" s="42">
        <f t="shared" si="4"/>
        <v>29926.81</v>
      </c>
      <c r="G241" s="42">
        <v>5</v>
      </c>
      <c r="H241" s="42">
        <v>29926.81</v>
      </c>
      <c r="I241" s="7"/>
      <c r="J241" s="7"/>
      <c r="K241" s="7"/>
      <c r="L241" s="7"/>
    </row>
    <row r="242" spans="1:12" ht="25.05" customHeight="1" x14ac:dyDescent="0.3">
      <c r="A242" s="43" t="s">
        <v>551</v>
      </c>
      <c r="B242" s="50" t="s">
        <v>552</v>
      </c>
      <c r="C242" s="50"/>
      <c r="D242" s="50"/>
      <c r="E242" s="50"/>
      <c r="F242" s="50"/>
      <c r="G242" s="50"/>
      <c r="H242" s="50"/>
      <c r="I242" s="6"/>
      <c r="J242" s="6"/>
      <c r="K242" s="6"/>
      <c r="L242" s="6"/>
    </row>
    <row r="243" spans="1:12" ht="25.05" customHeight="1" x14ac:dyDescent="0.3">
      <c r="A243" s="43" t="s">
        <v>553</v>
      </c>
      <c r="B243" s="50" t="s">
        <v>554</v>
      </c>
      <c r="C243" s="50"/>
      <c r="D243" s="50"/>
      <c r="E243" s="50"/>
      <c r="F243" s="50"/>
      <c r="G243" s="50"/>
      <c r="H243" s="50"/>
      <c r="I243" s="6"/>
      <c r="J243" s="6"/>
      <c r="K243" s="6"/>
      <c r="L243" s="6"/>
    </row>
    <row r="244" spans="1:12" ht="25.05" customHeight="1" x14ac:dyDescent="0.3">
      <c r="A244" s="41" t="s">
        <v>555</v>
      </c>
      <c r="B244" s="35" t="s">
        <v>556</v>
      </c>
      <c r="C244" s="36" t="s">
        <v>557</v>
      </c>
      <c r="D244" s="42">
        <v>18175.740000000002</v>
      </c>
      <c r="E244" s="42">
        <v>1</v>
      </c>
      <c r="F244" s="42">
        <f>PRODUCT(D244:E244)</f>
        <v>18175.740000000002</v>
      </c>
      <c r="G244" s="42">
        <v>1</v>
      </c>
      <c r="H244" s="42">
        <v>18175.740000000002</v>
      </c>
      <c r="I244" s="7"/>
      <c r="J244" s="7"/>
      <c r="K244" s="7"/>
      <c r="L244" s="7"/>
    </row>
    <row r="245" spans="1:12" ht="25.05" customHeight="1" x14ac:dyDescent="0.3">
      <c r="A245" s="41" t="s">
        <v>558</v>
      </c>
      <c r="B245" s="35" t="s">
        <v>559</v>
      </c>
      <c r="C245" s="36" t="s">
        <v>408</v>
      </c>
      <c r="D245" s="42">
        <v>7393.3559999999998</v>
      </c>
      <c r="E245" s="42">
        <v>5</v>
      </c>
      <c r="F245" s="42">
        <f>PRODUCT(D245:E245)</f>
        <v>36966.78</v>
      </c>
      <c r="G245" s="42">
        <v>5</v>
      </c>
      <c r="H245" s="42">
        <v>36966.78</v>
      </c>
      <c r="I245" s="7"/>
      <c r="J245" s="7"/>
      <c r="K245" s="7"/>
      <c r="L245" s="7"/>
    </row>
    <row r="246" spans="1:12" ht="25.05" customHeight="1" x14ac:dyDescent="0.3">
      <c r="A246" s="43" t="s">
        <v>560</v>
      </c>
      <c r="B246" s="50" t="s">
        <v>561</v>
      </c>
      <c r="C246" s="50"/>
      <c r="D246" s="50"/>
      <c r="E246" s="50"/>
      <c r="F246" s="50"/>
      <c r="G246" s="50"/>
      <c r="H246" s="50"/>
      <c r="I246" s="6"/>
      <c r="J246" s="6"/>
      <c r="K246" s="6"/>
      <c r="L246" s="6"/>
    </row>
    <row r="247" spans="1:12" ht="25.05" customHeight="1" x14ac:dyDescent="0.3">
      <c r="A247" s="43" t="s">
        <v>562</v>
      </c>
      <c r="B247" s="50" t="s">
        <v>563</v>
      </c>
      <c r="C247" s="50"/>
      <c r="D247" s="50"/>
      <c r="E247" s="50"/>
      <c r="F247" s="50"/>
      <c r="G247" s="50"/>
      <c r="H247" s="50"/>
      <c r="I247" s="6"/>
      <c r="J247" s="6"/>
      <c r="K247" s="6"/>
      <c r="L247" s="6"/>
    </row>
    <row r="248" spans="1:12" ht="25.05" customHeight="1" x14ac:dyDescent="0.3">
      <c r="A248" s="41" t="s">
        <v>564</v>
      </c>
      <c r="B248" s="35" t="s">
        <v>565</v>
      </c>
      <c r="C248" s="36" t="s">
        <v>566</v>
      </c>
      <c r="D248" s="42">
        <v>6398.47</v>
      </c>
      <c r="E248" s="42">
        <v>1</v>
      </c>
      <c r="F248" s="42">
        <f>PRODUCT(D248:E248)</f>
        <v>6398.47</v>
      </c>
      <c r="G248" s="42">
        <v>1</v>
      </c>
      <c r="H248" s="42">
        <v>6398.47</v>
      </c>
      <c r="I248" s="7"/>
      <c r="J248" s="7"/>
      <c r="K248" s="7"/>
      <c r="L248" s="7"/>
    </row>
    <row r="249" spans="1:12" ht="25.05" customHeight="1" x14ac:dyDescent="0.3">
      <c r="A249" s="41" t="s">
        <v>567</v>
      </c>
      <c r="B249" s="35" t="s">
        <v>568</v>
      </c>
      <c r="C249" s="36" t="s">
        <v>566</v>
      </c>
      <c r="D249" s="42">
        <v>0</v>
      </c>
      <c r="E249" s="42">
        <v>0</v>
      </c>
      <c r="F249" s="42">
        <v>0</v>
      </c>
      <c r="G249" s="42">
        <v>0</v>
      </c>
      <c r="H249" s="42">
        <v>0</v>
      </c>
      <c r="I249" s="7"/>
      <c r="J249" s="7"/>
      <c r="K249" s="7"/>
      <c r="L249" s="7"/>
    </row>
    <row r="250" spans="1:12" ht="25.05" customHeight="1" x14ac:dyDescent="0.3">
      <c r="A250" s="41" t="s">
        <v>569</v>
      </c>
      <c r="B250" s="35" t="s">
        <v>570</v>
      </c>
      <c r="C250" s="36" t="s">
        <v>571</v>
      </c>
      <c r="D250" s="42">
        <v>2488.2139999999999</v>
      </c>
      <c r="E250" s="42">
        <v>5</v>
      </c>
      <c r="F250" s="42">
        <f t="shared" ref="F250:F256" si="5">PRODUCT(D250:E250)</f>
        <v>12441.07</v>
      </c>
      <c r="G250" s="42">
        <v>5</v>
      </c>
      <c r="H250" s="42">
        <v>12441.07</v>
      </c>
      <c r="I250" s="7"/>
      <c r="J250" s="7"/>
      <c r="K250" s="7"/>
      <c r="L250" s="7"/>
    </row>
    <row r="251" spans="1:12" ht="25.05" customHeight="1" x14ac:dyDescent="0.3">
      <c r="A251" s="41" t="s">
        <v>572</v>
      </c>
      <c r="B251" s="35" t="s">
        <v>573</v>
      </c>
      <c r="C251" s="36" t="s">
        <v>574</v>
      </c>
      <c r="D251" s="42">
        <v>669.42600000000004</v>
      </c>
      <c r="E251" s="42">
        <v>5</v>
      </c>
      <c r="F251" s="42">
        <f t="shared" si="5"/>
        <v>3347.13</v>
      </c>
      <c r="G251" s="42">
        <v>5</v>
      </c>
      <c r="H251" s="42">
        <v>3347.13</v>
      </c>
      <c r="I251" s="7"/>
      <c r="J251" s="7"/>
      <c r="K251" s="7"/>
      <c r="L251" s="7"/>
    </row>
    <row r="252" spans="1:12" ht="25.05" customHeight="1" x14ac:dyDescent="0.3">
      <c r="A252" s="41" t="s">
        <v>575</v>
      </c>
      <c r="B252" s="35" t="s">
        <v>576</v>
      </c>
      <c r="C252" s="36" t="s">
        <v>475</v>
      </c>
      <c r="D252" s="42">
        <v>1872.114</v>
      </c>
      <c r="E252" s="42">
        <v>10</v>
      </c>
      <c r="F252" s="42">
        <f t="shared" si="5"/>
        <v>18721.14</v>
      </c>
      <c r="G252" s="42">
        <v>10</v>
      </c>
      <c r="H252" s="42">
        <v>18721.14</v>
      </c>
      <c r="I252" s="7"/>
      <c r="J252" s="7"/>
      <c r="K252" s="7"/>
      <c r="L252" s="7"/>
    </row>
    <row r="253" spans="1:12" ht="25.05" customHeight="1" x14ac:dyDescent="0.3">
      <c r="A253" s="41" t="s">
        <v>577</v>
      </c>
      <c r="B253" s="35" t="s">
        <v>578</v>
      </c>
      <c r="C253" s="36" t="s">
        <v>579</v>
      </c>
      <c r="D253" s="42">
        <v>701.24</v>
      </c>
      <c r="E253" s="42">
        <v>2</v>
      </c>
      <c r="F253" s="42">
        <f t="shared" si="5"/>
        <v>1402.48</v>
      </c>
      <c r="G253" s="42">
        <v>2</v>
      </c>
      <c r="H253" s="42">
        <v>1402.48</v>
      </c>
      <c r="I253" s="7"/>
      <c r="J253" s="7"/>
      <c r="K253" s="7"/>
      <c r="L253" s="7"/>
    </row>
    <row r="254" spans="1:12" ht="25.05" customHeight="1" x14ac:dyDescent="0.3">
      <c r="A254" s="41" t="s">
        <v>580</v>
      </c>
      <c r="B254" s="35" t="s">
        <v>581</v>
      </c>
      <c r="C254" s="36" t="s">
        <v>537</v>
      </c>
      <c r="D254" s="42">
        <v>719.73800000000006</v>
      </c>
      <c r="E254" s="42">
        <v>5</v>
      </c>
      <c r="F254" s="42">
        <f t="shared" si="5"/>
        <v>3598.6900000000005</v>
      </c>
      <c r="G254" s="42">
        <v>5</v>
      </c>
      <c r="H254" s="42">
        <v>3598.69</v>
      </c>
      <c r="I254" s="7"/>
      <c r="J254" s="7"/>
      <c r="K254" s="7"/>
      <c r="L254" s="7"/>
    </row>
    <row r="255" spans="1:12" ht="25.05" customHeight="1" x14ac:dyDescent="0.3">
      <c r="A255" s="41" t="s">
        <v>582</v>
      </c>
      <c r="B255" s="35" t="s">
        <v>583</v>
      </c>
      <c r="C255" s="36" t="s">
        <v>491</v>
      </c>
      <c r="D255" s="42">
        <v>5273.57</v>
      </c>
      <c r="E255" s="42">
        <v>2</v>
      </c>
      <c r="F255" s="42">
        <f t="shared" si="5"/>
        <v>10547.14</v>
      </c>
      <c r="G255" s="42">
        <v>2</v>
      </c>
      <c r="H255" s="42">
        <v>10547.14</v>
      </c>
      <c r="I255" s="7"/>
      <c r="J255" s="7"/>
      <c r="K255" s="7"/>
      <c r="L255" s="7"/>
    </row>
    <row r="256" spans="1:12" ht="25.05" customHeight="1" x14ac:dyDescent="0.3">
      <c r="A256" s="41" t="s">
        <v>584</v>
      </c>
      <c r="B256" s="35" t="s">
        <v>585</v>
      </c>
      <c r="C256" s="36" t="s">
        <v>586</v>
      </c>
      <c r="D256" s="42">
        <v>54648.959999999999</v>
      </c>
      <c r="E256" s="42">
        <v>1</v>
      </c>
      <c r="F256" s="42">
        <f t="shared" si="5"/>
        <v>54648.959999999999</v>
      </c>
      <c r="G256" s="42">
        <v>1</v>
      </c>
      <c r="H256" s="42">
        <v>54648.959999999999</v>
      </c>
      <c r="I256" s="7"/>
      <c r="J256" s="7"/>
      <c r="K256" s="7"/>
      <c r="L256" s="7"/>
    </row>
    <row r="257" spans="1:12" ht="25.05" customHeight="1" x14ac:dyDescent="0.3">
      <c r="A257" s="43" t="s">
        <v>587</v>
      </c>
      <c r="B257" s="44" t="s">
        <v>588</v>
      </c>
      <c r="C257" s="44"/>
      <c r="D257" s="44"/>
      <c r="E257" s="44"/>
      <c r="F257" s="44"/>
      <c r="G257" s="44"/>
      <c r="H257" s="44"/>
      <c r="I257" s="3"/>
      <c r="J257" s="3"/>
      <c r="K257" s="3"/>
      <c r="L257" s="3"/>
    </row>
    <row r="258" spans="1:12" ht="25.05" customHeight="1" x14ac:dyDescent="0.3">
      <c r="A258" s="43" t="s">
        <v>589</v>
      </c>
      <c r="B258" s="50" t="s">
        <v>590</v>
      </c>
      <c r="C258" s="50"/>
      <c r="D258" s="50"/>
      <c r="E258" s="50"/>
      <c r="F258" s="50"/>
      <c r="G258" s="50"/>
      <c r="H258" s="50"/>
      <c r="I258" s="6"/>
      <c r="J258" s="6"/>
      <c r="K258" s="6"/>
      <c r="L258" s="6"/>
    </row>
    <row r="259" spans="1:12" ht="25.05" customHeight="1" x14ac:dyDescent="0.3">
      <c r="A259" s="43" t="s">
        <v>591</v>
      </c>
      <c r="B259" s="50" t="s">
        <v>592</v>
      </c>
      <c r="C259" s="50"/>
      <c r="D259" s="50"/>
      <c r="E259" s="50"/>
      <c r="F259" s="50"/>
      <c r="G259" s="50"/>
      <c r="H259" s="50"/>
      <c r="I259" s="6"/>
      <c r="J259" s="6"/>
      <c r="K259" s="6"/>
      <c r="L259" s="6"/>
    </row>
    <row r="260" spans="1:12" ht="25.05" customHeight="1" x14ac:dyDescent="0.3">
      <c r="A260" s="43" t="s">
        <v>593</v>
      </c>
      <c r="B260" s="50" t="s">
        <v>594</v>
      </c>
      <c r="C260" s="50"/>
      <c r="D260" s="50"/>
      <c r="E260" s="50"/>
      <c r="F260" s="50"/>
      <c r="G260" s="50"/>
      <c r="H260" s="50"/>
      <c r="I260" s="6"/>
      <c r="J260" s="6"/>
      <c r="K260" s="6"/>
      <c r="L260" s="6"/>
    </row>
    <row r="261" spans="1:12" ht="55.2" customHeight="1" x14ac:dyDescent="0.3">
      <c r="A261" s="41" t="s">
        <v>595</v>
      </c>
      <c r="B261" s="35" t="s">
        <v>596</v>
      </c>
      <c r="C261" s="36" t="s">
        <v>597</v>
      </c>
      <c r="D261" s="42">
        <v>432.39295909999998</v>
      </c>
      <c r="E261" s="42">
        <v>98</v>
      </c>
      <c r="F261" s="42">
        <f>PRODUCT(D261:E261)</f>
        <v>42374.509991799998</v>
      </c>
      <c r="G261" s="42">
        <v>98</v>
      </c>
      <c r="H261" s="42">
        <v>42374.51</v>
      </c>
      <c r="I261" s="7"/>
      <c r="J261" s="7"/>
      <c r="K261" s="7"/>
      <c r="L261" s="7"/>
    </row>
    <row r="262" spans="1:12" ht="47.4" customHeight="1" x14ac:dyDescent="0.3">
      <c r="A262" s="41" t="s">
        <v>598</v>
      </c>
      <c r="B262" s="35" t="s">
        <v>599</v>
      </c>
      <c r="C262" s="36" t="s">
        <v>600</v>
      </c>
      <c r="D262" s="42">
        <v>87.130880000000005</v>
      </c>
      <c r="E262" s="42">
        <v>541</v>
      </c>
      <c r="F262" s="42">
        <f>PRODUCT(D262:E262)</f>
        <v>47137.806080000002</v>
      </c>
      <c r="G262" s="42">
        <v>541</v>
      </c>
      <c r="H262" s="42">
        <v>47137.81</v>
      </c>
      <c r="I262" s="7"/>
      <c r="J262" s="7"/>
      <c r="K262" s="7"/>
      <c r="L262" s="7"/>
    </row>
    <row r="263" spans="1:12" ht="48.6" customHeight="1" x14ac:dyDescent="0.3">
      <c r="A263" s="41" t="s">
        <v>601</v>
      </c>
      <c r="B263" s="35" t="s">
        <v>602</v>
      </c>
      <c r="C263" s="36" t="s">
        <v>603</v>
      </c>
      <c r="D263" s="42">
        <v>1827.5273</v>
      </c>
      <c r="E263" s="42">
        <v>60</v>
      </c>
      <c r="F263" s="42">
        <f>PRODUCT(D263:E263)</f>
        <v>109651.63799999999</v>
      </c>
      <c r="G263" s="42">
        <v>60</v>
      </c>
      <c r="H263" s="46">
        <v>109651.64</v>
      </c>
      <c r="I263" s="7"/>
      <c r="J263" s="7"/>
      <c r="K263" s="7"/>
      <c r="L263" s="7"/>
    </row>
    <row r="264" spans="1:12" ht="25.05" customHeight="1" x14ac:dyDescent="0.3">
      <c r="A264" s="43" t="s">
        <v>604</v>
      </c>
      <c r="B264" s="50" t="s">
        <v>605</v>
      </c>
      <c r="C264" s="50"/>
      <c r="D264" s="50"/>
      <c r="E264" s="50"/>
      <c r="F264" s="50"/>
      <c r="G264" s="50"/>
      <c r="H264" s="50"/>
      <c r="I264" s="6"/>
      <c r="J264" s="6"/>
      <c r="K264" s="6"/>
      <c r="L264" s="6"/>
    </row>
    <row r="265" spans="1:12" ht="51" customHeight="1" x14ac:dyDescent="0.3">
      <c r="A265" s="41" t="s">
        <v>606</v>
      </c>
      <c r="B265" s="35" t="s">
        <v>607</v>
      </c>
      <c r="C265" s="36" t="s">
        <v>597</v>
      </c>
      <c r="D265" s="42">
        <v>1220.2624000000001</v>
      </c>
      <c r="E265" s="42">
        <v>98</v>
      </c>
      <c r="F265" s="42">
        <f>PRODUCT(D265:E265)</f>
        <v>119585.71520000001</v>
      </c>
      <c r="G265" s="42">
        <v>98</v>
      </c>
      <c r="H265" s="42">
        <v>119585.72</v>
      </c>
      <c r="I265" s="7"/>
      <c r="J265" s="7"/>
      <c r="K265" s="7"/>
      <c r="L265" s="7"/>
    </row>
    <row r="266" spans="1:12" ht="55.2" customHeight="1" x14ac:dyDescent="0.3">
      <c r="A266" s="41" t="s">
        <v>608</v>
      </c>
      <c r="B266" s="35" t="s">
        <v>609</v>
      </c>
      <c r="C266" s="36" t="s">
        <v>597</v>
      </c>
      <c r="D266" s="42">
        <v>122.496118</v>
      </c>
      <c r="E266" s="42">
        <v>541</v>
      </c>
      <c r="F266" s="42">
        <f>PRODUCT(D266:E266)</f>
        <v>66270.399837999998</v>
      </c>
      <c r="G266" s="42">
        <v>541</v>
      </c>
      <c r="H266" s="42">
        <v>66270.399999999994</v>
      </c>
      <c r="I266" s="7"/>
      <c r="J266" s="7"/>
      <c r="K266" s="7"/>
      <c r="L266" s="7"/>
    </row>
    <row r="267" spans="1:12" ht="49.8" customHeight="1" x14ac:dyDescent="0.3">
      <c r="A267" s="41" t="s">
        <v>610</v>
      </c>
      <c r="B267" s="35" t="s">
        <v>611</v>
      </c>
      <c r="C267" s="36" t="s">
        <v>603</v>
      </c>
      <c r="D267" s="42">
        <v>720.37049999999999</v>
      </c>
      <c r="E267" s="42">
        <v>60</v>
      </c>
      <c r="F267" s="42">
        <f>PRODUCT(D267:E267)</f>
        <v>43222.229999999996</v>
      </c>
      <c r="G267" s="42">
        <v>60</v>
      </c>
      <c r="H267" s="42">
        <v>43222.23</v>
      </c>
      <c r="I267" s="7"/>
      <c r="J267" s="7"/>
      <c r="K267" s="7"/>
      <c r="L267" s="7"/>
    </row>
    <row r="268" spans="1:12" ht="25.05" customHeight="1" x14ac:dyDescent="0.3">
      <c r="A268" s="43" t="s">
        <v>612</v>
      </c>
      <c r="B268" s="50" t="s">
        <v>613</v>
      </c>
      <c r="C268" s="50"/>
      <c r="D268" s="50"/>
      <c r="E268" s="50"/>
      <c r="F268" s="50"/>
      <c r="G268" s="50"/>
      <c r="H268" s="50"/>
      <c r="I268" s="6"/>
      <c r="J268" s="6"/>
      <c r="K268" s="6"/>
      <c r="L268" s="6"/>
    </row>
    <row r="269" spans="1:12" ht="25.05" customHeight="1" x14ac:dyDescent="0.3">
      <c r="A269" s="41" t="s">
        <v>614</v>
      </c>
      <c r="B269" s="35" t="s">
        <v>615</v>
      </c>
      <c r="C269" s="36" t="s">
        <v>616</v>
      </c>
      <c r="D269" s="46">
        <v>861.41800000000001</v>
      </c>
      <c r="E269" s="46">
        <v>55</v>
      </c>
      <c r="F269" s="42">
        <f>PRODUCT(D269:E269)</f>
        <v>47377.99</v>
      </c>
      <c r="G269" s="46">
        <v>55</v>
      </c>
      <c r="H269" s="46">
        <v>47377.99</v>
      </c>
      <c r="I269" s="7"/>
      <c r="J269" s="7"/>
      <c r="K269" s="7"/>
      <c r="L269" s="7"/>
    </row>
    <row r="270" spans="1:12" ht="25.05" customHeight="1" x14ac:dyDescent="0.3">
      <c r="A270" s="43" t="s">
        <v>617</v>
      </c>
      <c r="B270" s="50" t="s">
        <v>618</v>
      </c>
      <c r="C270" s="50"/>
      <c r="D270" s="50"/>
      <c r="E270" s="50"/>
      <c r="F270" s="50"/>
      <c r="G270" s="50"/>
      <c r="H270" s="50"/>
      <c r="I270" s="6"/>
      <c r="J270" s="6"/>
      <c r="K270" s="6"/>
      <c r="L270" s="6"/>
    </row>
    <row r="271" spans="1:12" ht="25.05" customHeight="1" x14ac:dyDescent="0.3">
      <c r="A271" s="41" t="s">
        <v>619</v>
      </c>
      <c r="B271" s="35" t="s">
        <v>620</v>
      </c>
      <c r="C271" s="36" t="s">
        <v>621</v>
      </c>
      <c r="D271" s="42">
        <v>204.26776000000001</v>
      </c>
      <c r="E271" s="42">
        <v>250</v>
      </c>
      <c r="F271" s="42">
        <f>PRODUCT(D271:E271)</f>
        <v>51066.94</v>
      </c>
      <c r="G271" s="42">
        <v>250</v>
      </c>
      <c r="H271" s="42">
        <v>51066.94</v>
      </c>
      <c r="I271" s="7"/>
      <c r="J271" s="7"/>
      <c r="K271" s="7"/>
      <c r="L271" s="7"/>
    </row>
    <row r="272" spans="1:12" ht="25.05" customHeight="1" x14ac:dyDescent="0.3">
      <c r="A272" s="41" t="s">
        <v>622</v>
      </c>
      <c r="B272" s="35" t="s">
        <v>623</v>
      </c>
      <c r="C272" s="36" t="s">
        <v>624</v>
      </c>
      <c r="D272" s="42">
        <v>13.05555</v>
      </c>
      <c r="E272" s="42">
        <v>180</v>
      </c>
      <c r="F272" s="42">
        <f>PRODUCT(D272:E272)</f>
        <v>2349.9990000000003</v>
      </c>
      <c r="G272" s="42">
        <v>180</v>
      </c>
      <c r="H272" s="42">
        <v>2350</v>
      </c>
      <c r="I272" s="7"/>
      <c r="J272" s="7"/>
      <c r="K272" s="7"/>
      <c r="L272" s="7"/>
    </row>
    <row r="273" spans="1:12" ht="25.05" customHeight="1" x14ac:dyDescent="0.3">
      <c r="A273" s="41" t="s">
        <v>625</v>
      </c>
      <c r="B273" s="35" t="s">
        <v>626</v>
      </c>
      <c r="C273" s="36" t="s">
        <v>627</v>
      </c>
      <c r="D273" s="42">
        <v>104.56619999999999</v>
      </c>
      <c r="E273" s="42">
        <v>8</v>
      </c>
      <c r="F273" s="42">
        <f>PRODUCT(D273:E273)</f>
        <v>836.52959999999996</v>
      </c>
      <c r="G273" s="42">
        <v>8</v>
      </c>
      <c r="H273" s="42">
        <v>836.53</v>
      </c>
      <c r="I273" s="7"/>
      <c r="J273" s="7"/>
      <c r="K273" s="7"/>
      <c r="L273" s="7"/>
    </row>
    <row r="274" spans="1:12" ht="25.05" customHeight="1" x14ac:dyDescent="0.3">
      <c r="A274" s="43" t="s">
        <v>628</v>
      </c>
      <c r="B274" s="50" t="s">
        <v>629</v>
      </c>
      <c r="C274" s="50"/>
      <c r="D274" s="50"/>
      <c r="E274" s="50"/>
      <c r="F274" s="50"/>
      <c r="G274" s="50"/>
      <c r="H274" s="50"/>
      <c r="I274" s="6"/>
      <c r="J274" s="6"/>
      <c r="K274" s="6"/>
      <c r="L274" s="6"/>
    </row>
    <row r="275" spans="1:12" ht="25.05" customHeight="1" x14ac:dyDescent="0.3">
      <c r="A275" s="41" t="s">
        <v>630</v>
      </c>
      <c r="B275" s="35" t="s">
        <v>631</v>
      </c>
      <c r="C275" s="36" t="s">
        <v>632</v>
      </c>
      <c r="D275" s="42">
        <v>432.46030000000002</v>
      </c>
      <c r="E275" s="42">
        <v>5.3</v>
      </c>
      <c r="F275" s="42">
        <f>PRODUCT(D275:E275)</f>
        <v>2292.0395899999999</v>
      </c>
      <c r="G275" s="42">
        <v>5.3</v>
      </c>
      <c r="H275" s="42">
        <v>2292.04</v>
      </c>
      <c r="I275" s="7"/>
      <c r="J275" s="7"/>
      <c r="K275" s="7"/>
      <c r="L275" s="7"/>
    </row>
    <row r="276" spans="1:12" ht="87" customHeight="1" x14ac:dyDescent="0.3">
      <c r="A276" s="41" t="s">
        <v>633</v>
      </c>
      <c r="B276" s="35" t="s">
        <v>634</v>
      </c>
      <c r="C276" s="36" t="s">
        <v>635</v>
      </c>
      <c r="D276" s="42">
        <v>123.66849999999999</v>
      </c>
      <c r="E276" s="42">
        <v>20</v>
      </c>
      <c r="F276" s="42">
        <f>PRODUCT(D276:E276)</f>
        <v>2473.37</v>
      </c>
      <c r="G276" s="42">
        <v>20</v>
      </c>
      <c r="H276" s="42">
        <v>2473.37</v>
      </c>
      <c r="I276" s="7"/>
      <c r="J276" s="7"/>
      <c r="K276" s="7"/>
      <c r="L276" s="7"/>
    </row>
    <row r="277" spans="1:12" ht="25.05" customHeight="1" x14ac:dyDescent="0.3">
      <c r="A277" s="41" t="s">
        <v>636</v>
      </c>
      <c r="B277" s="35" t="s">
        <v>637</v>
      </c>
      <c r="C277" s="36" t="s">
        <v>638</v>
      </c>
      <c r="D277" s="42">
        <v>163.059</v>
      </c>
      <c r="E277" s="42">
        <v>100</v>
      </c>
      <c r="F277" s="42">
        <f>PRODUCT(D277:E277)</f>
        <v>16305.9</v>
      </c>
      <c r="G277" s="42">
        <v>100</v>
      </c>
      <c r="H277" s="42">
        <v>16305.9</v>
      </c>
      <c r="I277" s="7"/>
      <c r="J277" s="7"/>
      <c r="K277" s="7"/>
      <c r="L277" s="7"/>
    </row>
    <row r="278" spans="1:12" ht="25.05" customHeight="1" x14ac:dyDescent="0.3">
      <c r="A278" s="41" t="s">
        <v>639</v>
      </c>
      <c r="B278" s="35" t="s">
        <v>640</v>
      </c>
      <c r="C278" s="36" t="s">
        <v>641</v>
      </c>
      <c r="D278" s="42">
        <v>137.75475</v>
      </c>
      <c r="E278" s="42">
        <v>145</v>
      </c>
      <c r="F278" s="42">
        <f>PRODUCT(D278:E278)</f>
        <v>19974.438750000001</v>
      </c>
      <c r="G278" s="42">
        <v>145</v>
      </c>
      <c r="H278" s="42">
        <v>19974.439999999999</v>
      </c>
      <c r="I278" s="7"/>
      <c r="J278" s="7"/>
      <c r="K278" s="7"/>
      <c r="L278" s="7"/>
    </row>
    <row r="279" spans="1:12" ht="25.05" customHeight="1" x14ac:dyDescent="0.3">
      <c r="A279" s="43" t="s">
        <v>642</v>
      </c>
      <c r="B279" s="50" t="s">
        <v>643</v>
      </c>
      <c r="C279" s="50"/>
      <c r="D279" s="50"/>
      <c r="E279" s="50"/>
      <c r="F279" s="50"/>
      <c r="G279" s="50"/>
      <c r="H279" s="50"/>
      <c r="I279" s="6"/>
      <c r="J279" s="6"/>
      <c r="K279" s="6"/>
      <c r="L279" s="6"/>
    </row>
    <row r="280" spans="1:12" ht="25.05" customHeight="1" x14ac:dyDescent="0.3">
      <c r="A280" s="41" t="s">
        <v>644</v>
      </c>
      <c r="B280" s="35" t="s">
        <v>645</v>
      </c>
      <c r="C280" s="36" t="s">
        <v>646</v>
      </c>
      <c r="D280" s="42">
        <v>2565.5673000000002</v>
      </c>
      <c r="E280" s="42">
        <v>19</v>
      </c>
      <c r="F280" s="42">
        <f>PRODUCT(D280:E280)</f>
        <v>48745.778700000003</v>
      </c>
      <c r="G280" s="42">
        <v>19</v>
      </c>
      <c r="H280" s="42">
        <v>48745.78</v>
      </c>
      <c r="I280" s="7"/>
      <c r="J280" s="7"/>
      <c r="K280" s="7"/>
      <c r="L280" s="7"/>
    </row>
    <row r="281" spans="1:12" ht="25.05" customHeight="1" x14ac:dyDescent="0.3">
      <c r="A281" s="41" t="s">
        <v>647</v>
      </c>
      <c r="B281" s="35" t="s">
        <v>648</v>
      </c>
      <c r="C281" s="36" t="s">
        <v>649</v>
      </c>
      <c r="D281" s="42">
        <v>5681.6225999999997</v>
      </c>
      <c r="E281" s="42">
        <v>19</v>
      </c>
      <c r="F281" s="42">
        <f>PRODUCT(D281:E281)</f>
        <v>107950.82939999999</v>
      </c>
      <c r="G281" s="42">
        <v>19</v>
      </c>
      <c r="H281" s="42">
        <v>107950.83</v>
      </c>
      <c r="I281" s="7"/>
      <c r="J281" s="7"/>
      <c r="K281" s="7"/>
      <c r="L281" s="7"/>
    </row>
    <row r="282" spans="1:12" ht="25.05" customHeight="1" x14ac:dyDescent="0.3">
      <c r="A282" s="41" t="s">
        <v>650</v>
      </c>
      <c r="B282" s="35" t="s">
        <v>651</v>
      </c>
      <c r="C282" s="36" t="s">
        <v>641</v>
      </c>
      <c r="D282" s="42">
        <v>5429.2089999999998</v>
      </c>
      <c r="E282" s="42">
        <v>64</v>
      </c>
      <c r="F282" s="42">
        <f>PRODUCT(D282:E282)</f>
        <v>347469.37599999999</v>
      </c>
      <c r="G282" s="42">
        <v>64</v>
      </c>
      <c r="H282" s="42">
        <v>347469.38</v>
      </c>
      <c r="I282" s="7"/>
      <c r="J282" s="7"/>
      <c r="K282" s="7"/>
      <c r="L282" s="7"/>
    </row>
    <row r="283" spans="1:12" ht="25.05" customHeight="1" x14ac:dyDescent="0.3">
      <c r="A283" s="41" t="s">
        <v>652</v>
      </c>
      <c r="B283" s="35" t="s">
        <v>653</v>
      </c>
      <c r="C283" s="36" t="s">
        <v>654</v>
      </c>
      <c r="D283" s="42">
        <v>2740.1615000000002</v>
      </c>
      <c r="E283" s="42">
        <v>19</v>
      </c>
      <c r="F283" s="42">
        <f>PRODUCT(D283:E283)</f>
        <v>52063.068500000001</v>
      </c>
      <c r="G283" s="42">
        <v>19</v>
      </c>
      <c r="H283" s="42">
        <v>52063.07</v>
      </c>
      <c r="I283" s="7"/>
      <c r="J283" s="7"/>
      <c r="K283" s="7"/>
      <c r="L283" s="7"/>
    </row>
    <row r="284" spans="1:12" ht="25.05" customHeight="1" x14ac:dyDescent="0.3">
      <c r="A284" s="43" t="s">
        <v>655</v>
      </c>
      <c r="B284" s="50" t="s">
        <v>656</v>
      </c>
      <c r="C284" s="50"/>
      <c r="D284" s="50"/>
      <c r="E284" s="50"/>
      <c r="F284" s="50"/>
      <c r="G284" s="50"/>
      <c r="H284" s="50"/>
      <c r="I284" s="6"/>
      <c r="J284" s="6"/>
      <c r="K284" s="6"/>
      <c r="L284" s="6"/>
    </row>
    <row r="285" spans="1:12" ht="25.05" customHeight="1" x14ac:dyDescent="0.3">
      <c r="A285" s="41" t="s">
        <v>657</v>
      </c>
      <c r="B285" s="35" t="s">
        <v>658</v>
      </c>
      <c r="C285" s="36" t="s">
        <v>659</v>
      </c>
      <c r="D285" s="42">
        <v>412.50749999999999</v>
      </c>
      <c r="E285" s="42">
        <v>4</v>
      </c>
      <c r="F285" s="42">
        <f>PRODUCT(D285:E285)</f>
        <v>1650.03</v>
      </c>
      <c r="G285" s="42">
        <v>4</v>
      </c>
      <c r="H285" s="42">
        <v>1650.03</v>
      </c>
      <c r="I285" s="7"/>
      <c r="J285" s="7"/>
      <c r="K285" s="7"/>
      <c r="L285" s="7"/>
    </row>
    <row r="286" spans="1:12" ht="25.05" customHeight="1" x14ac:dyDescent="0.3">
      <c r="A286" s="43" t="s">
        <v>660</v>
      </c>
      <c r="B286" s="44" t="s">
        <v>661</v>
      </c>
      <c r="C286" s="44"/>
      <c r="D286" s="44"/>
      <c r="E286" s="44"/>
      <c r="F286" s="44"/>
      <c r="G286" s="44"/>
      <c r="H286" s="44"/>
      <c r="I286" s="3"/>
      <c r="J286" s="3"/>
      <c r="K286" s="3"/>
      <c r="L286" s="3"/>
    </row>
    <row r="287" spans="1:12" ht="25.05" customHeight="1" x14ac:dyDescent="0.3">
      <c r="A287" s="43" t="s">
        <v>662</v>
      </c>
      <c r="B287" s="50" t="s">
        <v>663</v>
      </c>
      <c r="C287" s="50"/>
      <c r="D287" s="50"/>
      <c r="E287" s="50"/>
      <c r="F287" s="50"/>
      <c r="G287" s="50"/>
      <c r="H287" s="50"/>
      <c r="I287" s="6"/>
      <c r="J287" s="6"/>
      <c r="K287" s="6"/>
      <c r="L287" s="6"/>
    </row>
    <row r="288" spans="1:12" ht="25.05" customHeight="1" x14ac:dyDescent="0.3">
      <c r="A288" s="41" t="s">
        <v>664</v>
      </c>
      <c r="B288" s="35" t="s">
        <v>665</v>
      </c>
      <c r="C288" s="36" t="s">
        <v>666</v>
      </c>
      <c r="D288" s="42">
        <v>31.095828999999998</v>
      </c>
      <c r="E288" s="42">
        <v>235</v>
      </c>
      <c r="F288" s="42">
        <f>PRODUCT(D288:E288)</f>
        <v>7307.5198149999997</v>
      </c>
      <c r="G288" s="42">
        <v>235</v>
      </c>
      <c r="H288" s="42">
        <v>7307.52</v>
      </c>
      <c r="I288" s="7"/>
      <c r="J288" s="7"/>
      <c r="K288" s="7"/>
      <c r="L288" s="7"/>
    </row>
    <row r="289" spans="1:12" ht="25.05" customHeight="1" x14ac:dyDescent="0.3">
      <c r="A289" s="41" t="s">
        <v>667</v>
      </c>
      <c r="B289" s="35" t="s">
        <v>668</v>
      </c>
      <c r="C289" s="36" t="s">
        <v>669</v>
      </c>
      <c r="D289" s="42">
        <v>1430.4079999999999</v>
      </c>
      <c r="E289" s="42">
        <v>20</v>
      </c>
      <c r="F289" s="42">
        <f>PRODUCT(D289:E289)</f>
        <v>28608.159999999996</v>
      </c>
      <c r="G289" s="42">
        <v>20</v>
      </c>
      <c r="H289" s="42">
        <v>28608.16</v>
      </c>
      <c r="I289" s="7"/>
      <c r="J289" s="7"/>
      <c r="K289" s="7"/>
      <c r="L289" s="7"/>
    </row>
    <row r="290" spans="1:12" ht="25.05" customHeight="1" x14ac:dyDescent="0.3">
      <c r="A290" s="41" t="s">
        <v>670</v>
      </c>
      <c r="B290" s="35" t="s">
        <v>671</v>
      </c>
      <c r="C290" s="36" t="s">
        <v>669</v>
      </c>
      <c r="D290" s="42">
        <v>339.53699999999998</v>
      </c>
      <c r="E290" s="42">
        <v>20</v>
      </c>
      <c r="F290" s="42">
        <f>PRODUCT(D290:E290)</f>
        <v>6790.74</v>
      </c>
      <c r="G290" s="42">
        <v>20</v>
      </c>
      <c r="H290" s="42">
        <v>6790.74</v>
      </c>
      <c r="I290" s="7"/>
      <c r="J290" s="7"/>
      <c r="K290" s="7"/>
      <c r="L290" s="7"/>
    </row>
    <row r="291" spans="1:12" ht="25.05" customHeight="1" x14ac:dyDescent="0.3">
      <c r="A291" s="41" t="s">
        <v>672</v>
      </c>
      <c r="B291" s="35" t="s">
        <v>673</v>
      </c>
      <c r="C291" s="36" t="s">
        <v>669</v>
      </c>
      <c r="D291" s="42">
        <v>6219.1633000000002</v>
      </c>
      <c r="E291" s="42">
        <v>6</v>
      </c>
      <c r="F291" s="42">
        <f>PRODUCT(D291:E291)</f>
        <v>37314.979800000001</v>
      </c>
      <c r="G291" s="42">
        <v>6</v>
      </c>
      <c r="H291" s="42">
        <v>37314.980000000003</v>
      </c>
      <c r="I291" s="7"/>
      <c r="J291" s="7"/>
      <c r="K291" s="7"/>
      <c r="L291" s="7"/>
    </row>
    <row r="292" spans="1:12" ht="25.05" customHeight="1" x14ac:dyDescent="0.3">
      <c r="A292" s="41" t="s">
        <v>674</v>
      </c>
      <c r="B292" s="35" t="s">
        <v>675</v>
      </c>
      <c r="C292" s="36" t="s">
        <v>676</v>
      </c>
      <c r="D292" s="42">
        <v>5760.9916599999997</v>
      </c>
      <c r="E292" s="42">
        <v>6</v>
      </c>
      <c r="F292" s="42">
        <f>PRODUCT(D292:E292)</f>
        <v>34565.949959999998</v>
      </c>
      <c r="G292" s="42">
        <v>6</v>
      </c>
      <c r="H292" s="42">
        <v>34565.949999999997</v>
      </c>
      <c r="I292" s="7"/>
      <c r="J292" s="7"/>
      <c r="K292" s="7"/>
      <c r="L292" s="7"/>
    </row>
    <row r="293" spans="1:12" ht="25.05" customHeight="1" x14ac:dyDescent="0.3">
      <c r="A293" s="43" t="s">
        <v>677</v>
      </c>
      <c r="B293" s="44" t="s">
        <v>678</v>
      </c>
      <c r="C293" s="44"/>
      <c r="D293" s="44"/>
      <c r="E293" s="44"/>
      <c r="F293" s="44"/>
      <c r="G293" s="44"/>
      <c r="H293" s="44"/>
      <c r="I293" s="3"/>
      <c r="J293" s="3"/>
      <c r="K293" s="3"/>
      <c r="L293" s="3"/>
    </row>
    <row r="294" spans="1:12" ht="25.05" customHeight="1" x14ac:dyDescent="0.3">
      <c r="A294" s="43" t="s">
        <v>679</v>
      </c>
      <c r="B294" s="50" t="s">
        <v>680</v>
      </c>
      <c r="C294" s="50"/>
      <c r="D294" s="50"/>
      <c r="E294" s="50"/>
      <c r="F294" s="50"/>
      <c r="G294" s="50"/>
      <c r="H294" s="50"/>
      <c r="I294" s="6"/>
      <c r="J294" s="6"/>
      <c r="K294" s="6"/>
      <c r="L294" s="6"/>
    </row>
    <row r="295" spans="1:12" ht="67.2" customHeight="1" x14ac:dyDescent="0.3">
      <c r="A295" s="41" t="s">
        <v>681</v>
      </c>
      <c r="B295" s="35" t="s">
        <v>682</v>
      </c>
      <c r="C295" s="36" t="s">
        <v>683</v>
      </c>
      <c r="D295" s="42">
        <v>54.617673000000003</v>
      </c>
      <c r="E295" s="42">
        <v>3800</v>
      </c>
      <c r="F295" s="42">
        <f>PRODUCT(D295:E295)</f>
        <v>207547.15740000003</v>
      </c>
      <c r="G295" s="42">
        <v>3800</v>
      </c>
      <c r="H295" s="42">
        <v>207547.16</v>
      </c>
      <c r="I295" s="7"/>
      <c r="J295" s="7"/>
      <c r="K295" s="7"/>
      <c r="L295" s="7"/>
    </row>
    <row r="296" spans="1:12" ht="25.05" customHeight="1" x14ac:dyDescent="0.3">
      <c r="A296" s="43" t="s">
        <v>684</v>
      </c>
      <c r="B296" s="44" t="s">
        <v>685</v>
      </c>
      <c r="C296" s="44"/>
      <c r="D296" s="44"/>
      <c r="E296" s="44"/>
      <c r="F296" s="44"/>
      <c r="G296" s="44"/>
      <c r="H296" s="44"/>
      <c r="I296" s="3"/>
      <c r="J296" s="3"/>
      <c r="K296" s="3"/>
      <c r="L296" s="3"/>
    </row>
    <row r="297" spans="1:12" ht="25.05" customHeight="1" x14ac:dyDescent="0.3">
      <c r="A297" s="43" t="s">
        <v>686</v>
      </c>
      <c r="B297" s="50" t="s">
        <v>687</v>
      </c>
      <c r="C297" s="50"/>
      <c r="D297" s="50"/>
      <c r="E297" s="50"/>
      <c r="F297" s="50"/>
      <c r="G297" s="50"/>
      <c r="H297" s="50"/>
      <c r="I297" s="6"/>
      <c r="J297" s="6"/>
      <c r="K297" s="6"/>
      <c r="L297" s="6"/>
    </row>
    <row r="298" spans="1:12" ht="25.05" customHeight="1" x14ac:dyDescent="0.3">
      <c r="A298" s="43" t="s">
        <v>688</v>
      </c>
      <c r="B298" s="50" t="s">
        <v>689</v>
      </c>
      <c r="C298" s="50"/>
      <c r="D298" s="50"/>
      <c r="E298" s="50"/>
      <c r="F298" s="50"/>
      <c r="G298" s="50"/>
      <c r="H298" s="50"/>
      <c r="I298" s="6"/>
      <c r="J298" s="6"/>
      <c r="K298" s="6"/>
      <c r="L298" s="6"/>
    </row>
    <row r="299" spans="1:12" ht="52.8" customHeight="1" x14ac:dyDescent="0.3">
      <c r="A299" s="41" t="s">
        <v>690</v>
      </c>
      <c r="B299" s="35" t="s">
        <v>691</v>
      </c>
      <c r="C299" s="36" t="s">
        <v>692</v>
      </c>
      <c r="D299" s="42">
        <v>71424.527199999997</v>
      </c>
      <c r="E299" s="42">
        <v>3.3</v>
      </c>
      <c r="F299" s="42">
        <f>PRODUCT(D299:E299)</f>
        <v>235700.93975999998</v>
      </c>
      <c r="G299" s="42">
        <v>3.3</v>
      </c>
      <c r="H299" s="42">
        <v>235700.94</v>
      </c>
      <c r="I299" s="7"/>
      <c r="J299" s="7"/>
      <c r="K299" s="7"/>
      <c r="L299" s="7"/>
    </row>
    <row r="300" spans="1:12" ht="51.6" customHeight="1" x14ac:dyDescent="0.3">
      <c r="A300" s="41" t="s">
        <v>693</v>
      </c>
      <c r="B300" s="35" t="s">
        <v>694</v>
      </c>
      <c r="C300" s="36" t="s">
        <v>695</v>
      </c>
      <c r="D300" s="42">
        <v>2247.2089999999998</v>
      </c>
      <c r="E300" s="42">
        <v>3.3</v>
      </c>
      <c r="F300" s="42">
        <f>PRODUCT(D300:E300)</f>
        <v>7415.7896999999994</v>
      </c>
      <c r="G300" s="42">
        <v>3.3</v>
      </c>
      <c r="H300" s="42">
        <v>7415.79</v>
      </c>
      <c r="I300" s="7"/>
      <c r="J300" s="7"/>
      <c r="K300" s="7"/>
      <c r="L300" s="7"/>
    </row>
    <row r="301" spans="1:12" ht="32.4" customHeight="1" x14ac:dyDescent="0.3">
      <c r="A301" s="60"/>
      <c r="B301" s="61" t="s">
        <v>705</v>
      </c>
      <c r="C301" s="48"/>
      <c r="D301" s="62"/>
      <c r="E301" s="62"/>
      <c r="F301" s="62"/>
      <c r="G301" s="62"/>
      <c r="H301" s="62">
        <f>SUM(H21:H300)</f>
        <v>7305242.189988004</v>
      </c>
    </row>
    <row r="302" spans="1:12" ht="18" x14ac:dyDescent="0.3">
      <c r="A302" s="60"/>
      <c r="B302" s="60"/>
      <c r="C302" s="60"/>
      <c r="D302" s="60"/>
      <c r="E302" s="60"/>
      <c r="F302" s="60"/>
      <c r="G302" s="60"/>
      <c r="H302" s="60"/>
    </row>
    <row r="303" spans="1:12" ht="59.4" customHeight="1" x14ac:dyDescent="0.3">
      <c r="A303" s="63" t="s">
        <v>777</v>
      </c>
      <c r="B303" s="64"/>
      <c r="C303" s="64"/>
      <c r="D303" s="64"/>
      <c r="E303" s="64"/>
      <c r="F303" s="64"/>
      <c r="G303" s="64"/>
      <c r="H303" s="64"/>
    </row>
    <row r="304" spans="1:12" ht="105.6" customHeight="1" x14ac:dyDescent="0.3">
      <c r="A304" s="48" t="s">
        <v>706</v>
      </c>
      <c r="B304" s="48" t="s">
        <v>707</v>
      </c>
      <c r="C304" s="65" t="s">
        <v>708</v>
      </c>
      <c r="D304" s="65" t="s">
        <v>709</v>
      </c>
      <c r="E304" s="65" t="s">
        <v>710</v>
      </c>
      <c r="F304" s="66" t="s">
        <v>711</v>
      </c>
      <c r="G304" s="67"/>
      <c r="H304" s="68"/>
    </row>
    <row r="305" spans="1:8" ht="18" x14ac:dyDescent="0.3">
      <c r="A305" s="48">
        <v>1</v>
      </c>
      <c r="B305" s="48">
        <v>2</v>
      </c>
      <c r="C305" s="48">
        <v>3</v>
      </c>
      <c r="D305" s="48">
        <v>4</v>
      </c>
      <c r="E305" s="48">
        <v>5</v>
      </c>
      <c r="F305" s="69">
        <v>6</v>
      </c>
      <c r="G305" s="69"/>
      <c r="H305" s="69"/>
    </row>
    <row r="306" spans="1:8" ht="18" x14ac:dyDescent="0.3">
      <c r="A306" s="70" t="s">
        <v>712</v>
      </c>
      <c r="B306" s="71" t="s">
        <v>713</v>
      </c>
      <c r="C306" s="71"/>
      <c r="D306" s="71"/>
      <c r="E306" s="71"/>
      <c r="F306" s="71"/>
      <c r="G306" s="71"/>
      <c r="H306" s="71"/>
    </row>
    <row r="307" spans="1:8" ht="18" x14ac:dyDescent="0.3">
      <c r="A307" s="72" t="s">
        <v>24</v>
      </c>
      <c r="B307" s="73" t="s">
        <v>714</v>
      </c>
      <c r="C307" s="74"/>
      <c r="D307" s="74"/>
      <c r="E307" s="74"/>
      <c r="F307" s="74"/>
      <c r="G307" s="74"/>
      <c r="H307" s="74"/>
    </row>
    <row r="308" spans="1:8" ht="33" customHeight="1" x14ac:dyDescent="0.3">
      <c r="A308" s="75" t="s">
        <v>729</v>
      </c>
      <c r="B308" s="76" t="s">
        <v>715</v>
      </c>
      <c r="C308" s="77" t="s">
        <v>745</v>
      </c>
      <c r="D308" s="78">
        <v>20000</v>
      </c>
      <c r="E308" s="79" t="s">
        <v>716</v>
      </c>
      <c r="F308" s="80" t="s">
        <v>758</v>
      </c>
      <c r="G308" s="80"/>
      <c r="H308" s="80"/>
    </row>
    <row r="309" spans="1:8" ht="27.6" customHeight="1" x14ac:dyDescent="0.3">
      <c r="A309" s="70" t="s">
        <v>718</v>
      </c>
      <c r="B309" s="81" t="s">
        <v>717</v>
      </c>
      <c r="C309" s="82"/>
      <c r="D309" s="82"/>
      <c r="E309" s="82"/>
      <c r="F309" s="82"/>
      <c r="G309" s="82"/>
      <c r="H309" s="83"/>
    </row>
    <row r="310" spans="1:8" ht="36" x14ac:dyDescent="0.3">
      <c r="A310" s="75" t="s">
        <v>719</v>
      </c>
      <c r="B310" s="76" t="s">
        <v>720</v>
      </c>
      <c r="C310" s="77" t="s">
        <v>746</v>
      </c>
      <c r="D310" s="84">
        <v>135000</v>
      </c>
      <c r="E310" s="79" t="s">
        <v>721</v>
      </c>
      <c r="F310" s="85" t="s">
        <v>755</v>
      </c>
      <c r="G310" s="86"/>
      <c r="H310" s="87"/>
    </row>
    <row r="311" spans="1:8" ht="36" x14ac:dyDescent="0.3">
      <c r="A311" s="75" t="s">
        <v>722</v>
      </c>
      <c r="B311" s="76" t="s">
        <v>723</v>
      </c>
      <c r="C311" s="77" t="s">
        <v>746</v>
      </c>
      <c r="D311" s="84">
        <v>240000</v>
      </c>
      <c r="E311" s="79" t="s">
        <v>724</v>
      </c>
      <c r="F311" s="85" t="s">
        <v>755</v>
      </c>
      <c r="G311" s="86"/>
      <c r="H311" s="87"/>
    </row>
    <row r="312" spans="1:8" ht="26.4" customHeight="1" x14ac:dyDescent="0.3">
      <c r="A312" s="70" t="s">
        <v>47</v>
      </c>
      <c r="B312" s="88" t="s">
        <v>106</v>
      </c>
      <c r="C312" s="89"/>
      <c r="D312" s="89"/>
      <c r="E312" s="89"/>
      <c r="F312" s="89"/>
      <c r="G312" s="89"/>
      <c r="H312" s="90"/>
    </row>
    <row r="313" spans="1:8" ht="27" customHeight="1" x14ac:dyDescent="0.3">
      <c r="A313" s="75" t="s">
        <v>730</v>
      </c>
      <c r="B313" s="91" t="s">
        <v>725</v>
      </c>
      <c r="C313" s="77" t="s">
        <v>745</v>
      </c>
      <c r="D313" s="84">
        <v>50000</v>
      </c>
      <c r="E313" s="79" t="s">
        <v>726</v>
      </c>
      <c r="F313" s="80" t="s">
        <v>759</v>
      </c>
      <c r="G313" s="80"/>
      <c r="H313" s="80"/>
    </row>
    <row r="314" spans="1:8" ht="36" x14ac:dyDescent="0.3">
      <c r="A314" s="92" t="s">
        <v>731</v>
      </c>
      <c r="B314" s="93" t="s">
        <v>727</v>
      </c>
      <c r="C314" s="94" t="s">
        <v>747</v>
      </c>
      <c r="D314" s="57">
        <v>70000</v>
      </c>
      <c r="E314" s="57" t="s">
        <v>728</v>
      </c>
      <c r="F314" s="95" t="s">
        <v>756</v>
      </c>
      <c r="G314" s="96"/>
      <c r="H314" s="97"/>
    </row>
    <row r="315" spans="1:8" ht="26.4" customHeight="1" x14ac:dyDescent="0.3">
      <c r="A315" s="70" t="s">
        <v>732</v>
      </c>
      <c r="B315" s="71" t="s">
        <v>733</v>
      </c>
      <c r="C315" s="71"/>
      <c r="D315" s="71"/>
      <c r="E315" s="71"/>
      <c r="F315" s="71"/>
      <c r="G315" s="71"/>
      <c r="H315" s="71"/>
    </row>
    <row r="316" spans="1:8" ht="30" customHeight="1" x14ac:dyDescent="0.3">
      <c r="A316" s="70" t="s">
        <v>587</v>
      </c>
      <c r="B316" s="49" t="s">
        <v>734</v>
      </c>
      <c r="C316" s="49"/>
      <c r="D316" s="49"/>
      <c r="E316" s="49"/>
      <c r="F316" s="49"/>
      <c r="G316" s="49"/>
      <c r="H316" s="49"/>
    </row>
    <row r="317" spans="1:8" ht="36" x14ac:dyDescent="0.3">
      <c r="A317" s="98" t="s">
        <v>589</v>
      </c>
      <c r="B317" s="99" t="s">
        <v>735</v>
      </c>
      <c r="C317" s="100" t="s">
        <v>746</v>
      </c>
      <c r="D317" s="101">
        <v>240000</v>
      </c>
      <c r="E317" s="101" t="s">
        <v>738</v>
      </c>
      <c r="F317" s="102" t="s">
        <v>760</v>
      </c>
      <c r="G317" s="103"/>
      <c r="H317" s="104"/>
    </row>
    <row r="318" spans="1:8" ht="36" x14ac:dyDescent="0.3">
      <c r="A318" s="98" t="s">
        <v>736</v>
      </c>
      <c r="B318" s="99" t="s">
        <v>737</v>
      </c>
      <c r="C318" s="100" t="s">
        <v>746</v>
      </c>
      <c r="D318" s="101">
        <v>33000</v>
      </c>
      <c r="E318" s="101" t="s">
        <v>739</v>
      </c>
      <c r="F318" s="102" t="s">
        <v>760</v>
      </c>
      <c r="G318" s="103"/>
      <c r="H318" s="104"/>
    </row>
    <row r="319" spans="1:8" ht="18" x14ac:dyDescent="0.3">
      <c r="A319" s="70" t="s">
        <v>740</v>
      </c>
      <c r="B319" s="105" t="s">
        <v>741</v>
      </c>
      <c r="C319" s="106"/>
      <c r="D319" s="106"/>
      <c r="E319" s="106"/>
      <c r="F319" s="106"/>
      <c r="G319" s="106"/>
      <c r="H319" s="106"/>
    </row>
    <row r="320" spans="1:8" ht="18" x14ac:dyDescent="0.3">
      <c r="A320" s="75" t="s">
        <v>742</v>
      </c>
      <c r="B320" s="76" t="s">
        <v>743</v>
      </c>
      <c r="C320" s="77" t="s">
        <v>746</v>
      </c>
      <c r="D320" s="84">
        <v>51584</v>
      </c>
      <c r="E320" s="84" t="s">
        <v>744</v>
      </c>
      <c r="F320" s="107" t="s">
        <v>754</v>
      </c>
      <c r="G320" s="108"/>
      <c r="H320" s="109"/>
    </row>
    <row r="321" spans="1:8" ht="18" x14ac:dyDescent="0.3">
      <c r="A321" s="70" t="s">
        <v>748</v>
      </c>
      <c r="B321" s="105" t="s">
        <v>398</v>
      </c>
      <c r="C321" s="106"/>
      <c r="D321" s="106"/>
      <c r="E321" s="106"/>
      <c r="F321" s="106"/>
      <c r="G321" s="106"/>
      <c r="H321" s="106"/>
    </row>
    <row r="322" spans="1:8" ht="48.6" customHeight="1" x14ac:dyDescent="0.3">
      <c r="A322" s="110" t="s">
        <v>749</v>
      </c>
      <c r="B322" s="76" t="s">
        <v>752</v>
      </c>
      <c r="C322" s="65" t="s">
        <v>753</v>
      </c>
      <c r="D322" s="79">
        <v>133680</v>
      </c>
      <c r="E322" s="48" t="s">
        <v>408</v>
      </c>
      <c r="F322" s="111" t="s">
        <v>761</v>
      </c>
      <c r="G322" s="112"/>
      <c r="H322" s="113"/>
    </row>
    <row r="323" spans="1:8" ht="46.8" customHeight="1" x14ac:dyDescent="0.3">
      <c r="A323" s="114" t="s">
        <v>750</v>
      </c>
      <c r="B323" s="115" t="s">
        <v>773</v>
      </c>
      <c r="C323" s="65" t="s">
        <v>753</v>
      </c>
      <c r="D323" s="79">
        <v>45000</v>
      </c>
      <c r="E323" s="116" t="s">
        <v>408</v>
      </c>
      <c r="F323" s="69" t="s">
        <v>757</v>
      </c>
      <c r="G323" s="69"/>
      <c r="H323" s="69"/>
    </row>
    <row r="324" spans="1:8" ht="42.6" customHeight="1" x14ac:dyDescent="0.3">
      <c r="A324" s="114" t="s">
        <v>751</v>
      </c>
      <c r="B324" s="115" t="s">
        <v>774</v>
      </c>
      <c r="C324" s="65" t="s">
        <v>753</v>
      </c>
      <c r="D324" s="79">
        <v>38000</v>
      </c>
      <c r="E324" s="116" t="s">
        <v>408</v>
      </c>
      <c r="F324" s="69" t="s">
        <v>757</v>
      </c>
      <c r="G324" s="69"/>
      <c r="H324" s="69"/>
    </row>
    <row r="325" spans="1:8" ht="33" customHeight="1" x14ac:dyDescent="0.35">
      <c r="A325" s="117"/>
      <c r="B325" s="118" t="s">
        <v>705</v>
      </c>
      <c r="C325" s="119"/>
      <c r="D325" s="120">
        <f>SUM(D308:D324)</f>
        <v>1056264</v>
      </c>
      <c r="E325" s="119"/>
      <c r="F325" s="117"/>
      <c r="G325" s="117"/>
      <c r="H325" s="117"/>
    </row>
    <row r="326" spans="1:8" ht="18" x14ac:dyDescent="0.35">
      <c r="A326" s="117"/>
      <c r="B326" s="117"/>
      <c r="C326" s="117"/>
      <c r="D326" s="117"/>
      <c r="E326" s="117"/>
      <c r="F326" s="117"/>
      <c r="G326" s="117"/>
      <c r="H326" s="117"/>
    </row>
    <row r="327" spans="1:8" ht="18" x14ac:dyDescent="0.35">
      <c r="A327" s="121" t="s">
        <v>778</v>
      </c>
      <c r="B327" s="121"/>
      <c r="C327" s="121"/>
      <c r="D327" s="121"/>
      <c r="E327" s="121"/>
      <c r="F327" s="121"/>
      <c r="G327" s="121"/>
      <c r="H327" s="121"/>
    </row>
    <row r="328" spans="1:8" ht="38.4" customHeight="1" x14ac:dyDescent="0.3">
      <c r="A328" s="122" t="s">
        <v>775</v>
      </c>
      <c r="B328" s="123"/>
      <c r="C328" s="123"/>
      <c r="D328" s="123"/>
      <c r="E328" s="123"/>
      <c r="F328" s="123"/>
      <c r="G328" s="123"/>
      <c r="H328" s="123"/>
    </row>
    <row r="329" spans="1:8" ht="95.4" customHeight="1" x14ac:dyDescent="0.35">
      <c r="A329" s="124" t="s">
        <v>1</v>
      </c>
      <c r="B329" s="124" t="s">
        <v>762</v>
      </c>
      <c r="C329" s="125" t="s">
        <v>763</v>
      </c>
      <c r="D329" s="125"/>
      <c r="E329" s="125" t="s">
        <v>764</v>
      </c>
      <c r="F329" s="126"/>
      <c r="G329" s="126"/>
      <c r="H329" s="117"/>
    </row>
    <row r="330" spans="1:8" ht="18" x14ac:dyDescent="0.35">
      <c r="A330" s="127">
        <v>1</v>
      </c>
      <c r="B330" s="127">
        <v>2</v>
      </c>
      <c r="C330" s="126">
        <v>3</v>
      </c>
      <c r="D330" s="126"/>
      <c r="E330" s="126">
        <v>4</v>
      </c>
      <c r="F330" s="126"/>
      <c r="G330" s="126"/>
      <c r="H330" s="117"/>
    </row>
    <row r="331" spans="1:8" ht="21.6" customHeight="1" x14ac:dyDescent="0.35">
      <c r="A331" s="119"/>
      <c r="B331" s="128">
        <v>0</v>
      </c>
      <c r="C331" s="129">
        <v>0</v>
      </c>
      <c r="D331" s="130"/>
      <c r="E331" s="129">
        <v>0</v>
      </c>
      <c r="F331" s="131"/>
      <c r="G331" s="130"/>
      <c r="H331" s="117"/>
    </row>
    <row r="332" spans="1:8" ht="18" x14ac:dyDescent="0.35">
      <c r="A332" s="117"/>
      <c r="B332" s="117"/>
      <c r="C332" s="117"/>
      <c r="D332" s="117"/>
      <c r="E332" s="117"/>
      <c r="F332" s="117"/>
      <c r="G332" s="117"/>
      <c r="H332" s="117"/>
    </row>
    <row r="333" spans="1:8" ht="72.599999999999994" customHeight="1" x14ac:dyDescent="0.3">
      <c r="A333" s="122" t="s">
        <v>776</v>
      </c>
      <c r="B333" s="123"/>
      <c r="C333" s="123"/>
      <c r="D333" s="123"/>
      <c r="E333" s="123"/>
      <c r="F333" s="123"/>
      <c r="G333" s="123"/>
      <c r="H333" s="123"/>
    </row>
    <row r="334" spans="1:8" ht="18" x14ac:dyDescent="0.35">
      <c r="A334" s="117"/>
      <c r="B334" s="117"/>
      <c r="C334" s="117"/>
      <c r="D334" s="117"/>
      <c r="E334" s="117"/>
      <c r="F334" s="117"/>
      <c r="G334" s="117"/>
      <c r="H334" s="117"/>
    </row>
    <row r="335" spans="1:8" ht="57.6" customHeight="1" x14ac:dyDescent="0.35">
      <c r="A335" s="124" t="s">
        <v>1</v>
      </c>
      <c r="B335" s="124" t="s">
        <v>765</v>
      </c>
      <c r="C335" s="125" t="s">
        <v>766</v>
      </c>
      <c r="D335" s="126"/>
      <c r="E335" s="124" t="s">
        <v>767</v>
      </c>
      <c r="F335" s="124" t="s">
        <v>768</v>
      </c>
      <c r="G335" s="124" t="s">
        <v>769</v>
      </c>
      <c r="H335" s="117"/>
    </row>
    <row r="336" spans="1:8" ht="18" x14ac:dyDescent="0.35">
      <c r="A336" s="127">
        <v>1</v>
      </c>
      <c r="B336" s="127">
        <v>2</v>
      </c>
      <c r="C336" s="132">
        <v>3</v>
      </c>
      <c r="D336" s="133"/>
      <c r="E336" s="127">
        <v>4</v>
      </c>
      <c r="F336" s="127">
        <v>5</v>
      </c>
      <c r="G336" s="127">
        <v>6</v>
      </c>
      <c r="H336" s="117"/>
    </row>
    <row r="337" spans="1:8" ht="54" x14ac:dyDescent="0.35">
      <c r="A337" s="127">
        <v>1</v>
      </c>
      <c r="B337" s="124" t="s">
        <v>770</v>
      </c>
      <c r="C337" s="134">
        <v>0</v>
      </c>
      <c r="D337" s="135"/>
      <c r="E337" s="136">
        <v>6298005</v>
      </c>
      <c r="F337" s="137">
        <v>6058000</v>
      </c>
      <c r="G337" s="137">
        <f>E337-F337</f>
        <v>240005</v>
      </c>
      <c r="H337" s="117"/>
    </row>
    <row r="338" spans="1:8" ht="54" x14ac:dyDescent="0.35">
      <c r="A338" s="127">
        <v>2</v>
      </c>
      <c r="B338" s="124" t="s">
        <v>771</v>
      </c>
      <c r="C338" s="134">
        <v>0</v>
      </c>
      <c r="D338" s="135"/>
      <c r="E338" s="137">
        <v>0</v>
      </c>
      <c r="F338" s="137">
        <v>0</v>
      </c>
      <c r="G338" s="137">
        <v>0</v>
      </c>
      <c r="H338" s="117"/>
    </row>
    <row r="339" spans="1:8" ht="18" x14ac:dyDescent="0.35">
      <c r="A339" s="117"/>
      <c r="B339" s="138" t="s">
        <v>705</v>
      </c>
      <c r="C339" s="139">
        <v>0</v>
      </c>
      <c r="D339" s="139"/>
      <c r="E339" s="120">
        <f>E337</f>
        <v>6298005</v>
      </c>
      <c r="F339" s="120">
        <f>SUM(F337:F338)</f>
        <v>6058000</v>
      </c>
      <c r="G339" s="120">
        <f>SUM(G337:G338)</f>
        <v>240005</v>
      </c>
      <c r="H339" s="117"/>
    </row>
    <row r="340" spans="1:8" ht="18" x14ac:dyDescent="0.35">
      <c r="A340" s="117"/>
      <c r="B340" s="117"/>
      <c r="C340" s="117"/>
      <c r="D340" s="117"/>
      <c r="E340" s="117"/>
      <c r="F340" s="117"/>
      <c r="G340" s="117"/>
      <c r="H340" s="117"/>
    </row>
  </sheetData>
  <mergeCells count="149">
    <mergeCell ref="B258:H258"/>
    <mergeCell ref="B259:H259"/>
    <mergeCell ref="B260:H260"/>
    <mergeCell ref="B242:H242"/>
    <mergeCell ref="B243:H243"/>
    <mergeCell ref="B246:H246"/>
    <mergeCell ref="B247:H247"/>
    <mergeCell ref="F323:H323"/>
    <mergeCell ref="B296:H296"/>
    <mergeCell ref="B297:H297"/>
    <mergeCell ref="B298:H298"/>
    <mergeCell ref="B293:H293"/>
    <mergeCell ref="B294:H294"/>
    <mergeCell ref="B286:H286"/>
    <mergeCell ref="B287:H287"/>
    <mergeCell ref="B274:H274"/>
    <mergeCell ref="B279:H279"/>
    <mergeCell ref="B284:H284"/>
    <mergeCell ref="B264:H264"/>
    <mergeCell ref="B268:H268"/>
    <mergeCell ref="B270:H270"/>
    <mergeCell ref="F322:H322"/>
    <mergeCell ref="F318:H318"/>
    <mergeCell ref="B127:H127"/>
    <mergeCell ref="B132:H132"/>
    <mergeCell ref="B106:H106"/>
    <mergeCell ref="B107:H107"/>
    <mergeCell ref="B120:H120"/>
    <mergeCell ref="B103:H103"/>
    <mergeCell ref="B104:H104"/>
    <mergeCell ref="B181:H181"/>
    <mergeCell ref="B182:H182"/>
    <mergeCell ref="B176:H176"/>
    <mergeCell ref="I37:L37"/>
    <mergeCell ref="B44:H44"/>
    <mergeCell ref="B37:H37"/>
    <mergeCell ref="B52:H52"/>
    <mergeCell ref="B54:H54"/>
    <mergeCell ref="B47:H47"/>
    <mergeCell ref="B48:H48"/>
    <mergeCell ref="B50:H50"/>
    <mergeCell ref="B76:H76"/>
    <mergeCell ref="B40:H40"/>
    <mergeCell ref="A10:H10"/>
    <mergeCell ref="A11:H11"/>
    <mergeCell ref="A9:H9"/>
    <mergeCell ref="A1:H1"/>
    <mergeCell ref="A2:H2"/>
    <mergeCell ref="A8:H8"/>
    <mergeCell ref="A3:H3"/>
    <mergeCell ref="A4:H4"/>
    <mergeCell ref="A5:H5"/>
    <mergeCell ref="A6:H6"/>
    <mergeCell ref="A7:H7"/>
    <mergeCell ref="B21:H21"/>
    <mergeCell ref="B23:H23"/>
    <mergeCell ref="B29:H29"/>
    <mergeCell ref="G18:H18"/>
    <mergeCell ref="A15:H15"/>
    <mergeCell ref="B28:H28"/>
    <mergeCell ref="A12:H12"/>
    <mergeCell ref="A13:H13"/>
    <mergeCell ref="A14:H14"/>
    <mergeCell ref="A16:H16"/>
    <mergeCell ref="A18:A19"/>
    <mergeCell ref="B18:B19"/>
    <mergeCell ref="C18:C19"/>
    <mergeCell ref="D18:D19"/>
    <mergeCell ref="E18:F18"/>
    <mergeCell ref="B32:H32"/>
    <mergeCell ref="B33:H33"/>
    <mergeCell ref="B35:H35"/>
    <mergeCell ref="B39:H39"/>
    <mergeCell ref="B42:H42"/>
    <mergeCell ref="B70:H70"/>
    <mergeCell ref="B71:H71"/>
    <mergeCell ref="B74:H74"/>
    <mergeCell ref="B56:H56"/>
    <mergeCell ref="B57:H57"/>
    <mergeCell ref="B68:H68"/>
    <mergeCell ref="B84:H84"/>
    <mergeCell ref="B85:H85"/>
    <mergeCell ref="B87:H87"/>
    <mergeCell ref="B79:H79"/>
    <mergeCell ref="B80:H80"/>
    <mergeCell ref="B158:H158"/>
    <mergeCell ref="B163:H163"/>
    <mergeCell ref="B164:H164"/>
    <mergeCell ref="B148:H148"/>
    <mergeCell ref="B150:H150"/>
    <mergeCell ref="B155:H155"/>
    <mergeCell ref="B134:H134"/>
    <mergeCell ref="B142:H142"/>
    <mergeCell ref="B143:H143"/>
    <mergeCell ref="B115:H115"/>
    <mergeCell ref="B116:H116"/>
    <mergeCell ref="B100:H100"/>
    <mergeCell ref="B93:H93"/>
    <mergeCell ref="B96:H96"/>
    <mergeCell ref="B98:H98"/>
    <mergeCell ref="B88:H88"/>
    <mergeCell ref="B90:H90"/>
    <mergeCell ref="B92:H92"/>
    <mergeCell ref="B125:H125"/>
    <mergeCell ref="B178:H178"/>
    <mergeCell ref="B179:H179"/>
    <mergeCell ref="B168:H168"/>
    <mergeCell ref="B169:H169"/>
    <mergeCell ref="B173:H173"/>
    <mergeCell ref="F311:H311"/>
    <mergeCell ref="F313:H313"/>
    <mergeCell ref="F314:H314"/>
    <mergeCell ref="B312:H312"/>
    <mergeCell ref="B307:H307"/>
    <mergeCell ref="F308:H308"/>
    <mergeCell ref="B309:H309"/>
    <mergeCell ref="F310:H310"/>
    <mergeCell ref="A303:H303"/>
    <mergeCell ref="F304:H304"/>
    <mergeCell ref="F305:H305"/>
    <mergeCell ref="B306:H306"/>
    <mergeCell ref="B200:H200"/>
    <mergeCell ref="B227:H227"/>
    <mergeCell ref="B186:H186"/>
    <mergeCell ref="B196:H196"/>
    <mergeCell ref="B197:H197"/>
    <mergeCell ref="B184:H184"/>
    <mergeCell ref="B257:H257"/>
    <mergeCell ref="B319:H319"/>
    <mergeCell ref="F320:H320"/>
    <mergeCell ref="B321:H321"/>
    <mergeCell ref="B315:H315"/>
    <mergeCell ref="B316:H316"/>
    <mergeCell ref="F317:H317"/>
    <mergeCell ref="C337:D337"/>
    <mergeCell ref="C338:D338"/>
    <mergeCell ref="C339:D339"/>
    <mergeCell ref="A333:H333"/>
    <mergeCell ref="C335:D335"/>
    <mergeCell ref="C336:D336"/>
    <mergeCell ref="F324:H324"/>
    <mergeCell ref="A327:H327"/>
    <mergeCell ref="A328:H328"/>
    <mergeCell ref="C329:D329"/>
    <mergeCell ref="E329:G329"/>
    <mergeCell ref="C330:D330"/>
    <mergeCell ref="E330:G330"/>
    <mergeCell ref="C331:D331"/>
    <mergeCell ref="E331:G331"/>
  </mergeCells>
  <pageMargins left="0.9055118110236221" right="0.51181102362204722" top="0.35433070866141736" bottom="0.35433070866141736" header="0.31496062992125984" footer="0.31496062992125984"/>
  <pageSetup paperSize="9" scale="45" fitToHeight="1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2026-03-24T07:38:30Z</cp:lastPrinted>
  <dcterms:created xsi:type="dcterms:W3CDTF">2026-02-20T11:02:32Z</dcterms:created>
  <dcterms:modified xsi:type="dcterms:W3CDTF">2026-03-24T07:40:26Z</dcterms:modified>
</cp:coreProperties>
</file>